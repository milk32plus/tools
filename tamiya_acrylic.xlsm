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sumu\github\tools\"/>
    </mc:Choice>
  </mc:AlternateContent>
  <bookViews>
    <workbookView xWindow="0" yWindow="0" windowWidth="18180" windowHeight="10230" tabRatio="861"/>
  </bookViews>
  <sheets>
    <sheet name="原紙" sheetId="1" r:id="rId1"/>
    <sheet name="グレイバイオレット" sheetId="2" r:id="rId2"/>
    <sheet name="グレイグリーン" sheetId="3" r:id="rId3"/>
  </sheets>
  <definedNames>
    <definedName name="_xlnm._FilterDatabase" localSheetId="2" hidden="1">グレイグリーン!$A$2:$W$109</definedName>
    <definedName name="_xlnm._FilterDatabase" localSheetId="1" hidden="1">グレイバイオレット!$A$2:$W$109</definedName>
    <definedName name="_xlnm._FilterDatabase" localSheetId="0" hidden="1">原紙!$A$2:$W$109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9" i="3" l="1"/>
  <c r="Q109" i="3" s="1"/>
  <c r="M109" i="3"/>
  <c r="P109" i="3" s="1"/>
  <c r="L109" i="3"/>
  <c r="O109" i="3" s="1"/>
  <c r="G109" i="3"/>
  <c r="N108" i="3"/>
  <c r="Q108" i="3" s="1"/>
  <c r="M108" i="3"/>
  <c r="P108" i="3" s="1"/>
  <c r="L108" i="3"/>
  <c r="O108" i="3" s="1"/>
  <c r="G108" i="3"/>
  <c r="N107" i="3"/>
  <c r="Q107" i="3" s="1"/>
  <c r="M107" i="3"/>
  <c r="P107" i="3" s="1"/>
  <c r="L107" i="3"/>
  <c r="O107" i="3" s="1"/>
  <c r="G107" i="3"/>
  <c r="Q106" i="3"/>
  <c r="N106" i="3"/>
  <c r="M106" i="3"/>
  <c r="P106" i="3" s="1"/>
  <c r="L106" i="3"/>
  <c r="O106" i="3" s="1"/>
  <c r="G106" i="3"/>
  <c r="P105" i="3"/>
  <c r="O105" i="3"/>
  <c r="N105" i="3"/>
  <c r="Q105" i="3" s="1"/>
  <c r="M105" i="3"/>
  <c r="L105" i="3"/>
  <c r="G105" i="3"/>
  <c r="N104" i="3"/>
  <c r="Q104" i="3" s="1"/>
  <c r="M104" i="3"/>
  <c r="P104" i="3" s="1"/>
  <c r="L104" i="3"/>
  <c r="O104" i="3" s="1"/>
  <c r="G104" i="3"/>
  <c r="N103" i="3"/>
  <c r="Q103" i="3" s="1"/>
  <c r="M103" i="3"/>
  <c r="P103" i="3" s="1"/>
  <c r="L103" i="3"/>
  <c r="O103" i="3" s="1"/>
  <c r="U103" i="3" s="1"/>
  <c r="Y103" i="3" s="1"/>
  <c r="G103" i="3"/>
  <c r="N102" i="3"/>
  <c r="Q102" i="3" s="1"/>
  <c r="M102" i="3"/>
  <c r="P102" i="3" s="1"/>
  <c r="L102" i="3"/>
  <c r="O102" i="3" s="1"/>
  <c r="G102" i="3"/>
  <c r="N101" i="3"/>
  <c r="Q101" i="3" s="1"/>
  <c r="M101" i="3"/>
  <c r="P101" i="3" s="1"/>
  <c r="L101" i="3"/>
  <c r="O101" i="3" s="1"/>
  <c r="G101" i="3"/>
  <c r="N100" i="3"/>
  <c r="Q100" i="3" s="1"/>
  <c r="M100" i="3"/>
  <c r="P100" i="3" s="1"/>
  <c r="L100" i="3"/>
  <c r="O100" i="3" s="1"/>
  <c r="G100" i="3"/>
  <c r="Q99" i="3"/>
  <c r="P99" i="3"/>
  <c r="N99" i="3"/>
  <c r="M99" i="3"/>
  <c r="L99" i="3"/>
  <c r="O99" i="3" s="1"/>
  <c r="G99" i="3"/>
  <c r="Q98" i="3"/>
  <c r="P98" i="3"/>
  <c r="O98" i="3"/>
  <c r="N98" i="3"/>
  <c r="M98" i="3"/>
  <c r="L98" i="3"/>
  <c r="G98" i="3"/>
  <c r="O97" i="3"/>
  <c r="N97" i="3"/>
  <c r="Q97" i="3" s="1"/>
  <c r="M97" i="3"/>
  <c r="P97" i="3" s="1"/>
  <c r="L97" i="3"/>
  <c r="G97" i="3"/>
  <c r="N96" i="3"/>
  <c r="Q96" i="3" s="1"/>
  <c r="M96" i="3"/>
  <c r="P96" i="3" s="1"/>
  <c r="L96" i="3"/>
  <c r="O96" i="3" s="1"/>
  <c r="G96" i="3"/>
  <c r="N95" i="3"/>
  <c r="Q95" i="3" s="1"/>
  <c r="M95" i="3"/>
  <c r="P95" i="3" s="1"/>
  <c r="L95" i="3"/>
  <c r="O95" i="3" s="1"/>
  <c r="G95" i="3"/>
  <c r="Q94" i="3"/>
  <c r="N94" i="3"/>
  <c r="M94" i="3"/>
  <c r="P94" i="3" s="1"/>
  <c r="L94" i="3"/>
  <c r="O94" i="3" s="1"/>
  <c r="G94" i="3"/>
  <c r="N93" i="3"/>
  <c r="Q93" i="3" s="1"/>
  <c r="M93" i="3"/>
  <c r="P93" i="3" s="1"/>
  <c r="L93" i="3"/>
  <c r="O93" i="3" s="1"/>
  <c r="G93" i="3"/>
  <c r="Q92" i="3"/>
  <c r="O92" i="3"/>
  <c r="N92" i="3"/>
  <c r="M92" i="3"/>
  <c r="P92" i="3" s="1"/>
  <c r="L92" i="3"/>
  <c r="G92" i="3"/>
  <c r="N91" i="3"/>
  <c r="Q91" i="3" s="1"/>
  <c r="M91" i="3"/>
  <c r="P91" i="3" s="1"/>
  <c r="L91" i="3"/>
  <c r="O91" i="3" s="1"/>
  <c r="G91" i="3"/>
  <c r="Q90" i="3"/>
  <c r="N90" i="3"/>
  <c r="M90" i="3"/>
  <c r="P90" i="3" s="1"/>
  <c r="L90" i="3"/>
  <c r="O90" i="3" s="1"/>
  <c r="G90" i="3"/>
  <c r="O89" i="3"/>
  <c r="N89" i="3"/>
  <c r="Q89" i="3" s="1"/>
  <c r="M89" i="3"/>
  <c r="P89" i="3" s="1"/>
  <c r="L89" i="3"/>
  <c r="G89" i="3"/>
  <c r="O88" i="3"/>
  <c r="N88" i="3"/>
  <c r="Q88" i="3" s="1"/>
  <c r="M88" i="3"/>
  <c r="P88" i="3" s="1"/>
  <c r="L88" i="3"/>
  <c r="G88" i="3"/>
  <c r="N87" i="3"/>
  <c r="Q87" i="3" s="1"/>
  <c r="M87" i="3"/>
  <c r="P87" i="3" s="1"/>
  <c r="L87" i="3"/>
  <c r="O87" i="3" s="1"/>
  <c r="U87" i="3" s="1"/>
  <c r="Y87" i="3" s="1"/>
  <c r="G87" i="3"/>
  <c r="N86" i="3"/>
  <c r="Q86" i="3" s="1"/>
  <c r="M86" i="3"/>
  <c r="P86" i="3" s="1"/>
  <c r="L86" i="3"/>
  <c r="O86" i="3" s="1"/>
  <c r="G86" i="3"/>
  <c r="P85" i="3"/>
  <c r="N85" i="3"/>
  <c r="Q85" i="3" s="1"/>
  <c r="M85" i="3"/>
  <c r="L85" i="3"/>
  <c r="O85" i="3" s="1"/>
  <c r="G85" i="3"/>
  <c r="N84" i="3"/>
  <c r="Q84" i="3" s="1"/>
  <c r="M84" i="3"/>
  <c r="P84" i="3" s="1"/>
  <c r="L84" i="3"/>
  <c r="O84" i="3" s="1"/>
  <c r="G84" i="3"/>
  <c r="Q83" i="3"/>
  <c r="P83" i="3"/>
  <c r="N83" i="3"/>
  <c r="M83" i="3"/>
  <c r="L83" i="3"/>
  <c r="O83" i="3" s="1"/>
  <c r="G83" i="3"/>
  <c r="Q82" i="3"/>
  <c r="P82" i="3"/>
  <c r="N82" i="3"/>
  <c r="M82" i="3"/>
  <c r="L82" i="3"/>
  <c r="O82" i="3" s="1"/>
  <c r="G82" i="3"/>
  <c r="P81" i="3"/>
  <c r="O81" i="3"/>
  <c r="N81" i="3"/>
  <c r="Q81" i="3" s="1"/>
  <c r="M81" i="3"/>
  <c r="L81" i="3"/>
  <c r="G81" i="3"/>
  <c r="N80" i="3"/>
  <c r="Q80" i="3" s="1"/>
  <c r="M80" i="3"/>
  <c r="P80" i="3" s="1"/>
  <c r="L80" i="3"/>
  <c r="O80" i="3" s="1"/>
  <c r="G80" i="3"/>
  <c r="N79" i="3"/>
  <c r="Q79" i="3" s="1"/>
  <c r="M79" i="3"/>
  <c r="P79" i="3" s="1"/>
  <c r="L79" i="3"/>
  <c r="O79" i="3" s="1"/>
  <c r="G79" i="3"/>
  <c r="N78" i="3"/>
  <c r="Q78" i="3" s="1"/>
  <c r="M78" i="3"/>
  <c r="P78" i="3" s="1"/>
  <c r="L78" i="3"/>
  <c r="O78" i="3" s="1"/>
  <c r="G78" i="3"/>
  <c r="N77" i="3"/>
  <c r="Q77" i="3" s="1"/>
  <c r="M77" i="3"/>
  <c r="P77" i="3" s="1"/>
  <c r="L77" i="3"/>
  <c r="O77" i="3" s="1"/>
  <c r="G77" i="3"/>
  <c r="O76" i="3"/>
  <c r="N76" i="3"/>
  <c r="Q76" i="3" s="1"/>
  <c r="M76" i="3"/>
  <c r="P76" i="3" s="1"/>
  <c r="L76" i="3"/>
  <c r="G76" i="3"/>
  <c r="Q75" i="3"/>
  <c r="N75" i="3"/>
  <c r="M75" i="3"/>
  <c r="P75" i="3" s="1"/>
  <c r="L75" i="3"/>
  <c r="O75" i="3" s="1"/>
  <c r="G75" i="3"/>
  <c r="P74" i="3"/>
  <c r="N74" i="3"/>
  <c r="Q74" i="3" s="1"/>
  <c r="M74" i="3"/>
  <c r="L74" i="3"/>
  <c r="O74" i="3" s="1"/>
  <c r="G74" i="3"/>
  <c r="N73" i="3"/>
  <c r="Q73" i="3" s="1"/>
  <c r="M73" i="3"/>
  <c r="P73" i="3" s="1"/>
  <c r="L73" i="3"/>
  <c r="O73" i="3" s="1"/>
  <c r="G73" i="3"/>
  <c r="N72" i="3"/>
  <c r="Q72" i="3" s="1"/>
  <c r="M72" i="3"/>
  <c r="P72" i="3" s="1"/>
  <c r="L72" i="3"/>
  <c r="O72" i="3" s="1"/>
  <c r="U72" i="3" s="1"/>
  <c r="Y72" i="3" s="1"/>
  <c r="G72" i="3"/>
  <c r="N71" i="3"/>
  <c r="Q71" i="3" s="1"/>
  <c r="M71" i="3"/>
  <c r="P71" i="3" s="1"/>
  <c r="L71" i="3"/>
  <c r="O71" i="3" s="1"/>
  <c r="G71" i="3"/>
  <c r="N70" i="3"/>
  <c r="Q70" i="3" s="1"/>
  <c r="M70" i="3"/>
  <c r="P70" i="3" s="1"/>
  <c r="L70" i="3"/>
  <c r="O70" i="3" s="1"/>
  <c r="G70" i="3"/>
  <c r="N69" i="3"/>
  <c r="Q69" i="3" s="1"/>
  <c r="M69" i="3"/>
  <c r="P69" i="3" s="1"/>
  <c r="L69" i="3"/>
  <c r="O69" i="3" s="1"/>
  <c r="G69" i="3"/>
  <c r="O68" i="3"/>
  <c r="N68" i="3"/>
  <c r="Q68" i="3" s="1"/>
  <c r="M68" i="3"/>
  <c r="P68" i="3" s="1"/>
  <c r="L68" i="3"/>
  <c r="G68" i="3"/>
  <c r="N67" i="3"/>
  <c r="Q67" i="3" s="1"/>
  <c r="M67" i="3"/>
  <c r="P67" i="3" s="1"/>
  <c r="L67" i="3"/>
  <c r="O67" i="3" s="1"/>
  <c r="G67" i="3"/>
  <c r="Q66" i="3"/>
  <c r="O66" i="3"/>
  <c r="N66" i="3"/>
  <c r="M66" i="3"/>
  <c r="P66" i="3" s="1"/>
  <c r="L66" i="3"/>
  <c r="G66" i="3"/>
  <c r="O65" i="3"/>
  <c r="N65" i="3"/>
  <c r="Q65" i="3" s="1"/>
  <c r="M65" i="3"/>
  <c r="P65" i="3" s="1"/>
  <c r="L65" i="3"/>
  <c r="G65" i="3"/>
  <c r="N64" i="3"/>
  <c r="Q64" i="3" s="1"/>
  <c r="M64" i="3"/>
  <c r="P64" i="3" s="1"/>
  <c r="L64" i="3"/>
  <c r="O64" i="3" s="1"/>
  <c r="G64" i="3"/>
  <c r="N63" i="3"/>
  <c r="Q63" i="3" s="1"/>
  <c r="M63" i="3"/>
  <c r="P63" i="3" s="1"/>
  <c r="L63" i="3"/>
  <c r="O63" i="3" s="1"/>
  <c r="G63" i="3"/>
  <c r="P62" i="3"/>
  <c r="N62" i="3"/>
  <c r="Q62" i="3" s="1"/>
  <c r="M62" i="3"/>
  <c r="L62" i="3"/>
  <c r="O62" i="3" s="1"/>
  <c r="G62" i="3"/>
  <c r="N61" i="3"/>
  <c r="Q61" i="3" s="1"/>
  <c r="M61" i="3"/>
  <c r="P61" i="3" s="1"/>
  <c r="L61" i="3"/>
  <c r="O61" i="3" s="1"/>
  <c r="G61" i="3"/>
  <c r="Q60" i="3"/>
  <c r="N60" i="3"/>
  <c r="M60" i="3"/>
  <c r="P60" i="3" s="1"/>
  <c r="L60" i="3"/>
  <c r="O60" i="3" s="1"/>
  <c r="U60" i="3" s="1"/>
  <c r="G60" i="3"/>
  <c r="Q59" i="3"/>
  <c r="N59" i="3"/>
  <c r="M59" i="3"/>
  <c r="P59" i="3" s="1"/>
  <c r="L59" i="3"/>
  <c r="O59" i="3" s="1"/>
  <c r="G59" i="3"/>
  <c r="O58" i="3"/>
  <c r="N58" i="3"/>
  <c r="Q58" i="3" s="1"/>
  <c r="M58" i="3"/>
  <c r="P58" i="3" s="1"/>
  <c r="L58" i="3"/>
  <c r="G58" i="3"/>
  <c r="N57" i="3"/>
  <c r="Q57" i="3" s="1"/>
  <c r="M57" i="3"/>
  <c r="P57" i="3" s="1"/>
  <c r="L57" i="3"/>
  <c r="O57" i="3" s="1"/>
  <c r="G57" i="3"/>
  <c r="N56" i="3"/>
  <c r="Q56" i="3" s="1"/>
  <c r="M56" i="3"/>
  <c r="P56" i="3" s="1"/>
  <c r="L56" i="3"/>
  <c r="O56" i="3" s="1"/>
  <c r="G56" i="3"/>
  <c r="Q55" i="3"/>
  <c r="P55" i="3"/>
  <c r="N55" i="3"/>
  <c r="M55" i="3"/>
  <c r="L55" i="3"/>
  <c r="O55" i="3" s="1"/>
  <c r="G55" i="3"/>
  <c r="N54" i="3"/>
  <c r="Q54" i="3" s="1"/>
  <c r="M54" i="3"/>
  <c r="P54" i="3" s="1"/>
  <c r="L54" i="3"/>
  <c r="O54" i="3" s="1"/>
  <c r="G54" i="3"/>
  <c r="P53" i="3"/>
  <c r="N53" i="3"/>
  <c r="Q53" i="3" s="1"/>
  <c r="M53" i="3"/>
  <c r="L53" i="3"/>
  <c r="O53" i="3" s="1"/>
  <c r="G53" i="3"/>
  <c r="Q52" i="3"/>
  <c r="N52" i="3"/>
  <c r="M52" i="3"/>
  <c r="P52" i="3" s="1"/>
  <c r="L52" i="3"/>
  <c r="O52" i="3" s="1"/>
  <c r="G52" i="3"/>
  <c r="N51" i="3"/>
  <c r="Q51" i="3" s="1"/>
  <c r="M51" i="3"/>
  <c r="P51" i="3" s="1"/>
  <c r="L51" i="3"/>
  <c r="O51" i="3" s="1"/>
  <c r="G51" i="3"/>
  <c r="P50" i="3"/>
  <c r="N50" i="3"/>
  <c r="Q50" i="3" s="1"/>
  <c r="M50" i="3"/>
  <c r="L50" i="3"/>
  <c r="O50" i="3" s="1"/>
  <c r="G50" i="3"/>
  <c r="N49" i="3"/>
  <c r="Q49" i="3" s="1"/>
  <c r="M49" i="3"/>
  <c r="P49" i="3" s="1"/>
  <c r="L49" i="3"/>
  <c r="O49" i="3" s="1"/>
  <c r="G49" i="3"/>
  <c r="N48" i="3"/>
  <c r="Q48" i="3" s="1"/>
  <c r="M48" i="3"/>
  <c r="P48" i="3" s="1"/>
  <c r="L48" i="3"/>
  <c r="O48" i="3" s="1"/>
  <c r="G48" i="3"/>
  <c r="O47" i="3"/>
  <c r="N47" i="3"/>
  <c r="Q47" i="3" s="1"/>
  <c r="M47" i="3"/>
  <c r="P47" i="3" s="1"/>
  <c r="L47" i="3"/>
  <c r="G47" i="3"/>
  <c r="O46" i="3"/>
  <c r="N46" i="3"/>
  <c r="Q46" i="3" s="1"/>
  <c r="M46" i="3"/>
  <c r="P46" i="3" s="1"/>
  <c r="L46" i="3"/>
  <c r="G46" i="3"/>
  <c r="N45" i="3"/>
  <c r="Q45" i="3" s="1"/>
  <c r="M45" i="3"/>
  <c r="P45" i="3" s="1"/>
  <c r="L45" i="3"/>
  <c r="O45" i="3" s="1"/>
  <c r="G45" i="3"/>
  <c r="N44" i="3"/>
  <c r="Q44" i="3" s="1"/>
  <c r="U44" i="3" s="1"/>
  <c r="Y44" i="3" s="1"/>
  <c r="M44" i="3"/>
  <c r="P44" i="3" s="1"/>
  <c r="L44" i="3"/>
  <c r="O44" i="3" s="1"/>
  <c r="G44" i="3"/>
  <c r="P43" i="3"/>
  <c r="N43" i="3"/>
  <c r="Q43" i="3" s="1"/>
  <c r="M43" i="3"/>
  <c r="L43" i="3"/>
  <c r="O43" i="3" s="1"/>
  <c r="G43" i="3"/>
  <c r="N42" i="3"/>
  <c r="Q42" i="3" s="1"/>
  <c r="M42" i="3"/>
  <c r="P42" i="3" s="1"/>
  <c r="L42" i="3"/>
  <c r="O42" i="3" s="1"/>
  <c r="U42" i="3" s="1"/>
  <c r="Y42" i="3" s="1"/>
  <c r="G42" i="3"/>
  <c r="Q41" i="3"/>
  <c r="N41" i="3"/>
  <c r="M41" i="3"/>
  <c r="P41" i="3" s="1"/>
  <c r="L41" i="3"/>
  <c r="O41" i="3" s="1"/>
  <c r="G41" i="3"/>
  <c r="P40" i="3"/>
  <c r="N40" i="3"/>
  <c r="Q40" i="3" s="1"/>
  <c r="M40" i="3"/>
  <c r="L40" i="3"/>
  <c r="O40" i="3" s="1"/>
  <c r="G40" i="3"/>
  <c r="N39" i="3"/>
  <c r="Q39" i="3" s="1"/>
  <c r="M39" i="3"/>
  <c r="P39" i="3" s="1"/>
  <c r="L39" i="3"/>
  <c r="O39" i="3" s="1"/>
  <c r="G39" i="3"/>
  <c r="N38" i="3"/>
  <c r="Q38" i="3" s="1"/>
  <c r="M38" i="3"/>
  <c r="P38" i="3" s="1"/>
  <c r="L38" i="3"/>
  <c r="O38" i="3" s="1"/>
  <c r="G38" i="3"/>
  <c r="N37" i="3"/>
  <c r="Q37" i="3" s="1"/>
  <c r="M37" i="3"/>
  <c r="P37" i="3" s="1"/>
  <c r="L37" i="3"/>
  <c r="O37" i="3" s="1"/>
  <c r="G37" i="3"/>
  <c r="Q36" i="3"/>
  <c r="N36" i="3"/>
  <c r="M36" i="3"/>
  <c r="P36" i="3" s="1"/>
  <c r="L36" i="3"/>
  <c r="O36" i="3" s="1"/>
  <c r="G36" i="3"/>
  <c r="P35" i="3"/>
  <c r="N35" i="3"/>
  <c r="Q35" i="3" s="1"/>
  <c r="M35" i="3"/>
  <c r="L35" i="3"/>
  <c r="O35" i="3" s="1"/>
  <c r="G35" i="3"/>
  <c r="N34" i="3"/>
  <c r="Q34" i="3" s="1"/>
  <c r="M34" i="3"/>
  <c r="P34" i="3" s="1"/>
  <c r="L34" i="3"/>
  <c r="O34" i="3" s="1"/>
  <c r="G34" i="3"/>
  <c r="N33" i="3"/>
  <c r="Q33" i="3" s="1"/>
  <c r="M33" i="3"/>
  <c r="P33" i="3" s="1"/>
  <c r="L33" i="3"/>
  <c r="O33" i="3" s="1"/>
  <c r="G33" i="3"/>
  <c r="P32" i="3"/>
  <c r="N32" i="3"/>
  <c r="Q32" i="3" s="1"/>
  <c r="M32" i="3"/>
  <c r="L32" i="3"/>
  <c r="O32" i="3" s="1"/>
  <c r="G32" i="3"/>
  <c r="N31" i="3"/>
  <c r="Q31" i="3" s="1"/>
  <c r="M31" i="3"/>
  <c r="P31" i="3" s="1"/>
  <c r="L31" i="3"/>
  <c r="O31" i="3" s="1"/>
  <c r="G31" i="3"/>
  <c r="O30" i="3"/>
  <c r="N30" i="3"/>
  <c r="Q30" i="3" s="1"/>
  <c r="M30" i="3"/>
  <c r="P30" i="3" s="1"/>
  <c r="L30" i="3"/>
  <c r="G30" i="3"/>
  <c r="N29" i="3"/>
  <c r="Q29" i="3" s="1"/>
  <c r="M29" i="3"/>
  <c r="P29" i="3" s="1"/>
  <c r="L29" i="3"/>
  <c r="O29" i="3" s="1"/>
  <c r="G29" i="3"/>
  <c r="Q28" i="3"/>
  <c r="N28" i="3"/>
  <c r="M28" i="3"/>
  <c r="P28" i="3" s="1"/>
  <c r="L28" i="3"/>
  <c r="O28" i="3" s="1"/>
  <c r="G28" i="3"/>
  <c r="P27" i="3"/>
  <c r="O27" i="3"/>
  <c r="N27" i="3"/>
  <c r="Q27" i="3" s="1"/>
  <c r="M27" i="3"/>
  <c r="L27" i="3"/>
  <c r="G27" i="3"/>
  <c r="O26" i="3"/>
  <c r="U26" i="3" s="1"/>
  <c r="Y26" i="3" s="1"/>
  <c r="N26" i="3"/>
  <c r="Q26" i="3" s="1"/>
  <c r="M26" i="3"/>
  <c r="P26" i="3" s="1"/>
  <c r="S26" i="3" s="1"/>
  <c r="W26" i="3" s="1"/>
  <c r="L26" i="3"/>
  <c r="G26" i="3"/>
  <c r="N25" i="3"/>
  <c r="Q25" i="3" s="1"/>
  <c r="M25" i="3"/>
  <c r="P25" i="3" s="1"/>
  <c r="L25" i="3"/>
  <c r="O25" i="3" s="1"/>
  <c r="G25" i="3"/>
  <c r="P24" i="3"/>
  <c r="N24" i="3"/>
  <c r="Q24" i="3" s="1"/>
  <c r="M24" i="3"/>
  <c r="L24" i="3"/>
  <c r="O24" i="3" s="1"/>
  <c r="G24" i="3"/>
  <c r="P23" i="3"/>
  <c r="N23" i="3"/>
  <c r="Q23" i="3" s="1"/>
  <c r="M23" i="3"/>
  <c r="L23" i="3"/>
  <c r="O23" i="3" s="1"/>
  <c r="G23" i="3"/>
  <c r="N22" i="3"/>
  <c r="Q22" i="3" s="1"/>
  <c r="M22" i="3"/>
  <c r="P22" i="3" s="1"/>
  <c r="L22" i="3"/>
  <c r="O22" i="3" s="1"/>
  <c r="U22" i="3" s="1"/>
  <c r="Y22" i="3" s="1"/>
  <c r="G22" i="3"/>
  <c r="N21" i="3"/>
  <c r="Q21" i="3" s="1"/>
  <c r="M21" i="3"/>
  <c r="P21" i="3" s="1"/>
  <c r="L21" i="3"/>
  <c r="O21" i="3" s="1"/>
  <c r="G21" i="3"/>
  <c r="Q20" i="3"/>
  <c r="N20" i="3"/>
  <c r="M20" i="3"/>
  <c r="P20" i="3" s="1"/>
  <c r="L20" i="3"/>
  <c r="O20" i="3" s="1"/>
  <c r="G20" i="3"/>
  <c r="P19" i="3"/>
  <c r="N19" i="3"/>
  <c r="Q19" i="3" s="1"/>
  <c r="M19" i="3"/>
  <c r="L19" i="3"/>
  <c r="O19" i="3" s="1"/>
  <c r="G19" i="3"/>
  <c r="Q18" i="3"/>
  <c r="O18" i="3"/>
  <c r="N18" i="3"/>
  <c r="M18" i="3"/>
  <c r="P18" i="3" s="1"/>
  <c r="L18" i="3"/>
  <c r="G18" i="3"/>
  <c r="N17" i="3"/>
  <c r="Q17" i="3" s="1"/>
  <c r="M17" i="3"/>
  <c r="P17" i="3" s="1"/>
  <c r="L17" i="3"/>
  <c r="O17" i="3" s="1"/>
  <c r="G17" i="3"/>
  <c r="N16" i="3"/>
  <c r="Q16" i="3" s="1"/>
  <c r="M16" i="3"/>
  <c r="P16" i="3" s="1"/>
  <c r="L16" i="3"/>
  <c r="O16" i="3" s="1"/>
  <c r="G16" i="3"/>
  <c r="N15" i="3"/>
  <c r="Q15" i="3" s="1"/>
  <c r="M15" i="3"/>
  <c r="P15" i="3" s="1"/>
  <c r="L15" i="3"/>
  <c r="O15" i="3" s="1"/>
  <c r="G15" i="3"/>
  <c r="N14" i="3"/>
  <c r="Q14" i="3" s="1"/>
  <c r="M14" i="3"/>
  <c r="P14" i="3" s="1"/>
  <c r="L14" i="3"/>
  <c r="O14" i="3" s="1"/>
  <c r="G14" i="3"/>
  <c r="O13" i="3"/>
  <c r="N13" i="3"/>
  <c r="Q13" i="3" s="1"/>
  <c r="M13" i="3"/>
  <c r="P13" i="3" s="1"/>
  <c r="L13" i="3"/>
  <c r="G13" i="3"/>
  <c r="N12" i="3"/>
  <c r="Q12" i="3" s="1"/>
  <c r="M12" i="3"/>
  <c r="P12" i="3" s="1"/>
  <c r="L12" i="3"/>
  <c r="O12" i="3" s="1"/>
  <c r="G12" i="3"/>
  <c r="Q11" i="3"/>
  <c r="N11" i="3"/>
  <c r="M11" i="3"/>
  <c r="P11" i="3" s="1"/>
  <c r="L11" i="3"/>
  <c r="O11" i="3" s="1"/>
  <c r="G11" i="3"/>
  <c r="P10" i="3"/>
  <c r="N10" i="3"/>
  <c r="Q10" i="3" s="1"/>
  <c r="M10" i="3"/>
  <c r="L10" i="3"/>
  <c r="O10" i="3" s="1"/>
  <c r="U10" i="3" s="1"/>
  <c r="Y10" i="3" s="1"/>
  <c r="G10" i="3"/>
  <c r="O9" i="3"/>
  <c r="N9" i="3"/>
  <c r="Q9" i="3" s="1"/>
  <c r="M9" i="3"/>
  <c r="P9" i="3" s="1"/>
  <c r="L9" i="3"/>
  <c r="G9" i="3"/>
  <c r="N8" i="3"/>
  <c r="Q8" i="3" s="1"/>
  <c r="M8" i="3"/>
  <c r="P8" i="3" s="1"/>
  <c r="L8" i="3"/>
  <c r="O8" i="3" s="1"/>
  <c r="G8" i="3"/>
  <c r="Q7" i="3"/>
  <c r="N7" i="3"/>
  <c r="M7" i="3"/>
  <c r="P7" i="3" s="1"/>
  <c r="L7" i="3"/>
  <c r="O7" i="3" s="1"/>
  <c r="G7" i="3"/>
  <c r="N6" i="3"/>
  <c r="Q6" i="3" s="1"/>
  <c r="M6" i="3"/>
  <c r="P6" i="3" s="1"/>
  <c r="L6" i="3"/>
  <c r="O6" i="3" s="1"/>
  <c r="G6" i="3"/>
  <c r="N5" i="3"/>
  <c r="Q5" i="3" s="1"/>
  <c r="M5" i="3"/>
  <c r="P5" i="3" s="1"/>
  <c r="L5" i="3"/>
  <c r="O5" i="3" s="1"/>
  <c r="U5" i="3" s="1"/>
  <c r="G5" i="3"/>
  <c r="N4" i="3"/>
  <c r="Q4" i="3" s="1"/>
  <c r="M4" i="3"/>
  <c r="P4" i="3" s="1"/>
  <c r="L4" i="3"/>
  <c r="O4" i="3" s="1"/>
  <c r="G4" i="3"/>
  <c r="N3" i="3"/>
  <c r="Q3" i="3" s="1"/>
  <c r="M3" i="3"/>
  <c r="P3" i="3" s="1"/>
  <c r="L3" i="3"/>
  <c r="O3" i="3" s="1"/>
  <c r="G3" i="3"/>
  <c r="B1" i="3"/>
  <c r="N109" i="2"/>
  <c r="Q109" i="2" s="1"/>
  <c r="M109" i="2"/>
  <c r="P109" i="2" s="1"/>
  <c r="L109" i="2"/>
  <c r="O109" i="2" s="1"/>
  <c r="G109" i="2"/>
  <c r="N108" i="2"/>
  <c r="Q108" i="2" s="1"/>
  <c r="M108" i="2"/>
  <c r="P108" i="2" s="1"/>
  <c r="L108" i="2"/>
  <c r="O108" i="2" s="1"/>
  <c r="G108" i="2"/>
  <c r="N107" i="2"/>
  <c r="Q107" i="2" s="1"/>
  <c r="M107" i="2"/>
  <c r="P107" i="2" s="1"/>
  <c r="L107" i="2"/>
  <c r="O107" i="2" s="1"/>
  <c r="G107" i="2"/>
  <c r="N106" i="2"/>
  <c r="Q106" i="2" s="1"/>
  <c r="M106" i="2"/>
  <c r="P106" i="2" s="1"/>
  <c r="L106" i="2"/>
  <c r="O106" i="2" s="1"/>
  <c r="G106" i="2"/>
  <c r="N105" i="2"/>
  <c r="Q105" i="2" s="1"/>
  <c r="M105" i="2"/>
  <c r="P105" i="2" s="1"/>
  <c r="L105" i="2"/>
  <c r="O105" i="2" s="1"/>
  <c r="G105" i="2"/>
  <c r="Q104" i="2"/>
  <c r="P104" i="2"/>
  <c r="N104" i="2"/>
  <c r="M104" i="2"/>
  <c r="L104" i="2"/>
  <c r="O104" i="2" s="1"/>
  <c r="U104" i="2" s="1"/>
  <c r="G104" i="2"/>
  <c r="Q103" i="2"/>
  <c r="P103" i="2"/>
  <c r="O103" i="2"/>
  <c r="N103" i="2"/>
  <c r="M103" i="2"/>
  <c r="L103" i="2"/>
  <c r="G103" i="2"/>
  <c r="N102" i="2"/>
  <c r="Q102" i="2" s="1"/>
  <c r="M102" i="2"/>
  <c r="P102" i="2" s="1"/>
  <c r="L102" i="2"/>
  <c r="O102" i="2" s="1"/>
  <c r="G102" i="2"/>
  <c r="N101" i="2"/>
  <c r="Q101" i="2" s="1"/>
  <c r="M101" i="2"/>
  <c r="P101" i="2" s="1"/>
  <c r="L101" i="2"/>
  <c r="O101" i="2" s="1"/>
  <c r="G101" i="2"/>
  <c r="N100" i="2"/>
  <c r="Q100" i="2" s="1"/>
  <c r="M100" i="2"/>
  <c r="P100" i="2" s="1"/>
  <c r="L100" i="2"/>
  <c r="O100" i="2" s="1"/>
  <c r="G100" i="2"/>
  <c r="N99" i="2"/>
  <c r="Q99" i="2" s="1"/>
  <c r="M99" i="2"/>
  <c r="P99" i="2" s="1"/>
  <c r="L99" i="2"/>
  <c r="O99" i="2" s="1"/>
  <c r="G99" i="2"/>
  <c r="N98" i="2"/>
  <c r="Q98" i="2" s="1"/>
  <c r="M98" i="2"/>
  <c r="P98" i="2" s="1"/>
  <c r="L98" i="2"/>
  <c r="O98" i="2" s="1"/>
  <c r="G98" i="2"/>
  <c r="N97" i="2"/>
  <c r="Q97" i="2" s="1"/>
  <c r="M97" i="2"/>
  <c r="P97" i="2" s="1"/>
  <c r="L97" i="2"/>
  <c r="O97" i="2" s="1"/>
  <c r="G97" i="2"/>
  <c r="Q96" i="2"/>
  <c r="N96" i="2"/>
  <c r="M96" i="2"/>
  <c r="P96" i="2" s="1"/>
  <c r="L96" i="2"/>
  <c r="O96" i="2" s="1"/>
  <c r="U96" i="2" s="1"/>
  <c r="G96" i="2"/>
  <c r="Q95" i="2"/>
  <c r="P95" i="2"/>
  <c r="N95" i="2"/>
  <c r="M95" i="2"/>
  <c r="L95" i="2"/>
  <c r="O95" i="2" s="1"/>
  <c r="G95" i="2"/>
  <c r="O94" i="2"/>
  <c r="N94" i="2"/>
  <c r="Q94" i="2" s="1"/>
  <c r="M94" i="2"/>
  <c r="P94" i="2" s="1"/>
  <c r="L94" i="2"/>
  <c r="G94" i="2"/>
  <c r="N93" i="2"/>
  <c r="Q93" i="2" s="1"/>
  <c r="M93" i="2"/>
  <c r="P93" i="2" s="1"/>
  <c r="L93" i="2"/>
  <c r="O93" i="2" s="1"/>
  <c r="G93" i="2"/>
  <c r="N92" i="2"/>
  <c r="Q92" i="2" s="1"/>
  <c r="M92" i="2"/>
  <c r="P92" i="2" s="1"/>
  <c r="L92" i="2"/>
  <c r="O92" i="2" s="1"/>
  <c r="G92" i="2"/>
  <c r="N91" i="2"/>
  <c r="Q91" i="2" s="1"/>
  <c r="M91" i="2"/>
  <c r="P91" i="2" s="1"/>
  <c r="L91" i="2"/>
  <c r="O91" i="2" s="1"/>
  <c r="G91" i="2"/>
  <c r="N90" i="2"/>
  <c r="Q90" i="2" s="1"/>
  <c r="M90" i="2"/>
  <c r="P90" i="2" s="1"/>
  <c r="L90" i="2"/>
  <c r="O90" i="2" s="1"/>
  <c r="G90" i="2"/>
  <c r="P89" i="2"/>
  <c r="N89" i="2"/>
  <c r="Q89" i="2" s="1"/>
  <c r="M89" i="2"/>
  <c r="L89" i="2"/>
  <c r="O89" i="2" s="1"/>
  <c r="G89" i="2"/>
  <c r="N88" i="2"/>
  <c r="Q88" i="2" s="1"/>
  <c r="M88" i="2"/>
  <c r="P88" i="2" s="1"/>
  <c r="L88" i="2"/>
  <c r="O88" i="2" s="1"/>
  <c r="G88" i="2"/>
  <c r="N87" i="2"/>
  <c r="Q87" i="2" s="1"/>
  <c r="M87" i="2"/>
  <c r="P87" i="2" s="1"/>
  <c r="L87" i="2"/>
  <c r="O87" i="2" s="1"/>
  <c r="U87" i="2" s="1"/>
  <c r="G87" i="2"/>
  <c r="O86" i="2"/>
  <c r="N86" i="2"/>
  <c r="Q86" i="2" s="1"/>
  <c r="M86" i="2"/>
  <c r="P86" i="2" s="1"/>
  <c r="L86" i="2"/>
  <c r="G86" i="2"/>
  <c r="N85" i="2"/>
  <c r="Q85" i="2" s="1"/>
  <c r="M85" i="2"/>
  <c r="P85" i="2" s="1"/>
  <c r="L85" i="2"/>
  <c r="O85" i="2" s="1"/>
  <c r="G85" i="2"/>
  <c r="N84" i="2"/>
  <c r="Q84" i="2" s="1"/>
  <c r="M84" i="2"/>
  <c r="P84" i="2" s="1"/>
  <c r="L84" i="2"/>
  <c r="O84" i="2" s="1"/>
  <c r="G84" i="2"/>
  <c r="N83" i="2"/>
  <c r="Q83" i="2" s="1"/>
  <c r="M83" i="2"/>
  <c r="P83" i="2" s="1"/>
  <c r="L83" i="2"/>
  <c r="O83" i="2" s="1"/>
  <c r="G83" i="2"/>
  <c r="N82" i="2"/>
  <c r="Q82" i="2" s="1"/>
  <c r="M82" i="2"/>
  <c r="P82" i="2" s="1"/>
  <c r="L82" i="2"/>
  <c r="O82" i="2" s="1"/>
  <c r="G82" i="2"/>
  <c r="Q81" i="2"/>
  <c r="P81" i="2"/>
  <c r="N81" i="2"/>
  <c r="M81" i="2"/>
  <c r="L81" i="2"/>
  <c r="O81" i="2" s="1"/>
  <c r="G81" i="2"/>
  <c r="O80" i="2"/>
  <c r="N80" i="2"/>
  <c r="Q80" i="2" s="1"/>
  <c r="M80" i="2"/>
  <c r="P80" i="2" s="1"/>
  <c r="L80" i="2"/>
  <c r="G80" i="2"/>
  <c r="N79" i="2"/>
  <c r="Q79" i="2" s="1"/>
  <c r="M79" i="2"/>
  <c r="P79" i="2" s="1"/>
  <c r="L79" i="2"/>
  <c r="O79" i="2" s="1"/>
  <c r="G79" i="2"/>
  <c r="N78" i="2"/>
  <c r="Q78" i="2" s="1"/>
  <c r="M78" i="2"/>
  <c r="P78" i="2" s="1"/>
  <c r="L78" i="2"/>
  <c r="O78" i="2" s="1"/>
  <c r="G78" i="2"/>
  <c r="N77" i="2"/>
  <c r="Q77" i="2" s="1"/>
  <c r="M77" i="2"/>
  <c r="P77" i="2" s="1"/>
  <c r="L77" i="2"/>
  <c r="O77" i="2" s="1"/>
  <c r="G77" i="2"/>
  <c r="N76" i="2"/>
  <c r="Q76" i="2" s="1"/>
  <c r="M76" i="2"/>
  <c r="P76" i="2" s="1"/>
  <c r="L76" i="2"/>
  <c r="O76" i="2" s="1"/>
  <c r="G76" i="2"/>
  <c r="N75" i="2"/>
  <c r="Q75" i="2" s="1"/>
  <c r="M75" i="2"/>
  <c r="P75" i="2" s="1"/>
  <c r="L75" i="2"/>
  <c r="O75" i="2" s="1"/>
  <c r="G75" i="2"/>
  <c r="Q74" i="2"/>
  <c r="N74" i="2"/>
  <c r="M74" i="2"/>
  <c r="P74" i="2" s="1"/>
  <c r="L74" i="2"/>
  <c r="O74" i="2" s="1"/>
  <c r="G74" i="2"/>
  <c r="N73" i="2"/>
  <c r="Q73" i="2" s="1"/>
  <c r="M73" i="2"/>
  <c r="P73" i="2" s="1"/>
  <c r="L73" i="2"/>
  <c r="O73" i="2" s="1"/>
  <c r="G73" i="2"/>
  <c r="Q72" i="2"/>
  <c r="N72" i="2"/>
  <c r="M72" i="2"/>
  <c r="P72" i="2" s="1"/>
  <c r="L72" i="2"/>
  <c r="O72" i="2" s="1"/>
  <c r="G72" i="2"/>
  <c r="Q71" i="2"/>
  <c r="P71" i="2"/>
  <c r="O71" i="2"/>
  <c r="N71" i="2"/>
  <c r="M71" i="2"/>
  <c r="L71" i="2"/>
  <c r="G71" i="2"/>
  <c r="P70" i="2"/>
  <c r="O70" i="2"/>
  <c r="N70" i="2"/>
  <c r="Q70" i="2" s="1"/>
  <c r="M70" i="2"/>
  <c r="L70" i="2"/>
  <c r="G70" i="2"/>
  <c r="N69" i="2"/>
  <c r="Q69" i="2" s="1"/>
  <c r="M69" i="2"/>
  <c r="P69" i="2" s="1"/>
  <c r="L69" i="2"/>
  <c r="O69" i="2" s="1"/>
  <c r="G69" i="2"/>
  <c r="N68" i="2"/>
  <c r="Q68" i="2" s="1"/>
  <c r="M68" i="2"/>
  <c r="P68" i="2" s="1"/>
  <c r="L68" i="2"/>
  <c r="O68" i="2" s="1"/>
  <c r="G68" i="2"/>
  <c r="N67" i="2"/>
  <c r="Q67" i="2" s="1"/>
  <c r="M67" i="2"/>
  <c r="P67" i="2" s="1"/>
  <c r="L67" i="2"/>
  <c r="O67" i="2" s="1"/>
  <c r="G67" i="2"/>
  <c r="N66" i="2"/>
  <c r="Q66" i="2" s="1"/>
  <c r="M66" i="2"/>
  <c r="P66" i="2" s="1"/>
  <c r="L66" i="2"/>
  <c r="O66" i="2" s="1"/>
  <c r="G66" i="2"/>
  <c r="N65" i="2"/>
  <c r="Q65" i="2" s="1"/>
  <c r="M65" i="2"/>
  <c r="P65" i="2" s="1"/>
  <c r="L65" i="2"/>
  <c r="O65" i="2" s="1"/>
  <c r="G65" i="2"/>
  <c r="P64" i="2"/>
  <c r="N64" i="2"/>
  <c r="Q64" i="2" s="1"/>
  <c r="M64" i="2"/>
  <c r="L64" i="2"/>
  <c r="O64" i="2" s="1"/>
  <c r="G64" i="2"/>
  <c r="N63" i="2"/>
  <c r="Q63" i="2" s="1"/>
  <c r="M63" i="2"/>
  <c r="P63" i="2" s="1"/>
  <c r="L63" i="2"/>
  <c r="O63" i="2" s="1"/>
  <c r="G63" i="2"/>
  <c r="N62" i="2"/>
  <c r="Q62" i="2" s="1"/>
  <c r="M62" i="2"/>
  <c r="P62" i="2" s="1"/>
  <c r="L62" i="2"/>
  <c r="O62" i="2" s="1"/>
  <c r="G62" i="2"/>
  <c r="P61" i="2"/>
  <c r="N61" i="2"/>
  <c r="Q61" i="2" s="1"/>
  <c r="M61" i="2"/>
  <c r="L61" i="2"/>
  <c r="O61" i="2" s="1"/>
  <c r="G61" i="2"/>
  <c r="O60" i="2"/>
  <c r="N60" i="2"/>
  <c r="Q60" i="2" s="1"/>
  <c r="M60" i="2"/>
  <c r="P60" i="2" s="1"/>
  <c r="L60" i="2"/>
  <c r="G60" i="2"/>
  <c r="N59" i="2"/>
  <c r="Q59" i="2" s="1"/>
  <c r="M59" i="2"/>
  <c r="P59" i="2" s="1"/>
  <c r="L59" i="2"/>
  <c r="O59" i="2" s="1"/>
  <c r="G59" i="2"/>
  <c r="N58" i="2"/>
  <c r="Q58" i="2" s="1"/>
  <c r="M58" i="2"/>
  <c r="P58" i="2" s="1"/>
  <c r="L58" i="2"/>
  <c r="O58" i="2" s="1"/>
  <c r="G58" i="2"/>
  <c r="N57" i="2"/>
  <c r="Q57" i="2" s="1"/>
  <c r="M57" i="2"/>
  <c r="P57" i="2" s="1"/>
  <c r="L57" i="2"/>
  <c r="O57" i="2" s="1"/>
  <c r="G57" i="2"/>
  <c r="Q56" i="2"/>
  <c r="N56" i="2"/>
  <c r="M56" i="2"/>
  <c r="P56" i="2" s="1"/>
  <c r="L56" i="2"/>
  <c r="O56" i="2" s="1"/>
  <c r="G56" i="2"/>
  <c r="Q55" i="2"/>
  <c r="P55" i="2"/>
  <c r="N55" i="2"/>
  <c r="M55" i="2"/>
  <c r="L55" i="2"/>
  <c r="O55" i="2" s="1"/>
  <c r="G55" i="2"/>
  <c r="O54" i="2"/>
  <c r="N54" i="2"/>
  <c r="Q54" i="2" s="1"/>
  <c r="M54" i="2"/>
  <c r="P54" i="2" s="1"/>
  <c r="L54" i="2"/>
  <c r="G54" i="2"/>
  <c r="N53" i="2"/>
  <c r="Q53" i="2" s="1"/>
  <c r="M53" i="2"/>
  <c r="P53" i="2" s="1"/>
  <c r="L53" i="2"/>
  <c r="O53" i="2" s="1"/>
  <c r="G53" i="2"/>
  <c r="N52" i="2"/>
  <c r="Q52" i="2" s="1"/>
  <c r="M52" i="2"/>
  <c r="P52" i="2" s="1"/>
  <c r="L52" i="2"/>
  <c r="O52" i="2" s="1"/>
  <c r="G52" i="2"/>
  <c r="U51" i="2"/>
  <c r="N51" i="2"/>
  <c r="Q51" i="2" s="1"/>
  <c r="M51" i="2"/>
  <c r="P51" i="2" s="1"/>
  <c r="L51" i="2"/>
  <c r="O51" i="2" s="1"/>
  <c r="G51" i="2"/>
  <c r="N50" i="2"/>
  <c r="Q50" i="2" s="1"/>
  <c r="M50" i="2"/>
  <c r="P50" i="2" s="1"/>
  <c r="L50" i="2"/>
  <c r="O50" i="2" s="1"/>
  <c r="U50" i="2" s="1"/>
  <c r="G50" i="2"/>
  <c r="N49" i="2"/>
  <c r="Q49" i="2" s="1"/>
  <c r="M49" i="2"/>
  <c r="P49" i="2" s="1"/>
  <c r="L49" i="2"/>
  <c r="O49" i="2" s="1"/>
  <c r="G49" i="2"/>
  <c r="O48" i="2"/>
  <c r="N48" i="2"/>
  <c r="Q48" i="2" s="1"/>
  <c r="M48" i="2"/>
  <c r="P48" i="2" s="1"/>
  <c r="L48" i="2"/>
  <c r="G48" i="2"/>
  <c r="Q47" i="2"/>
  <c r="N47" i="2"/>
  <c r="M47" i="2"/>
  <c r="P47" i="2" s="1"/>
  <c r="L47" i="2"/>
  <c r="O47" i="2" s="1"/>
  <c r="U47" i="2" s="1"/>
  <c r="G47" i="2"/>
  <c r="P46" i="2"/>
  <c r="N46" i="2"/>
  <c r="Q46" i="2" s="1"/>
  <c r="M46" i="2"/>
  <c r="L46" i="2"/>
  <c r="O46" i="2" s="1"/>
  <c r="G46" i="2"/>
  <c r="Q45" i="2"/>
  <c r="O45" i="2"/>
  <c r="N45" i="2"/>
  <c r="M45" i="2"/>
  <c r="P45" i="2" s="1"/>
  <c r="L45" i="2"/>
  <c r="G45" i="2"/>
  <c r="Q44" i="2"/>
  <c r="P44" i="2"/>
  <c r="N44" i="2"/>
  <c r="M44" i="2"/>
  <c r="L44" i="2"/>
  <c r="O44" i="2" s="1"/>
  <c r="G44" i="2"/>
  <c r="N43" i="2"/>
  <c r="Q43" i="2" s="1"/>
  <c r="M43" i="2"/>
  <c r="P43" i="2" s="1"/>
  <c r="L43" i="2"/>
  <c r="O43" i="2" s="1"/>
  <c r="G43" i="2"/>
  <c r="N42" i="2"/>
  <c r="Q42" i="2" s="1"/>
  <c r="M42" i="2"/>
  <c r="P42" i="2" s="1"/>
  <c r="L42" i="2"/>
  <c r="O42" i="2" s="1"/>
  <c r="G42" i="2"/>
  <c r="P41" i="2"/>
  <c r="N41" i="2"/>
  <c r="Q41" i="2" s="1"/>
  <c r="M41" i="2"/>
  <c r="L41" i="2"/>
  <c r="O41" i="2" s="1"/>
  <c r="G41" i="2"/>
  <c r="N40" i="2"/>
  <c r="Q40" i="2" s="1"/>
  <c r="M40" i="2"/>
  <c r="P40" i="2" s="1"/>
  <c r="L40" i="2"/>
  <c r="O40" i="2" s="1"/>
  <c r="G40" i="2"/>
  <c r="N39" i="2"/>
  <c r="Q39" i="2" s="1"/>
  <c r="M39" i="2"/>
  <c r="P39" i="2" s="1"/>
  <c r="L39" i="2"/>
  <c r="O39" i="2" s="1"/>
  <c r="U39" i="2" s="1"/>
  <c r="Y39" i="2" s="1"/>
  <c r="G39" i="2"/>
  <c r="P38" i="2"/>
  <c r="N38" i="2"/>
  <c r="Q38" i="2" s="1"/>
  <c r="M38" i="2"/>
  <c r="L38" i="2"/>
  <c r="O38" i="2" s="1"/>
  <c r="G38" i="2"/>
  <c r="Q37" i="2"/>
  <c r="O37" i="2"/>
  <c r="N37" i="2"/>
  <c r="M37" i="2"/>
  <c r="P37" i="2" s="1"/>
  <c r="L37" i="2"/>
  <c r="G37" i="2"/>
  <c r="Q36" i="2"/>
  <c r="P36" i="2"/>
  <c r="N36" i="2"/>
  <c r="M36" i="2"/>
  <c r="L36" i="2"/>
  <c r="O36" i="2" s="1"/>
  <c r="G36" i="2"/>
  <c r="N35" i="2"/>
  <c r="Q35" i="2" s="1"/>
  <c r="M35" i="2"/>
  <c r="P35" i="2" s="1"/>
  <c r="L35" i="2"/>
  <c r="O35" i="2" s="1"/>
  <c r="G35" i="2"/>
  <c r="N34" i="2"/>
  <c r="Q34" i="2" s="1"/>
  <c r="M34" i="2"/>
  <c r="P34" i="2" s="1"/>
  <c r="L34" i="2"/>
  <c r="O34" i="2" s="1"/>
  <c r="G34" i="2"/>
  <c r="P33" i="2"/>
  <c r="N33" i="2"/>
  <c r="Q33" i="2" s="1"/>
  <c r="M33" i="2"/>
  <c r="L33" i="2"/>
  <c r="O33" i="2" s="1"/>
  <c r="G33" i="2"/>
  <c r="N32" i="2"/>
  <c r="Q32" i="2" s="1"/>
  <c r="M32" i="2"/>
  <c r="P32" i="2" s="1"/>
  <c r="L32" i="2"/>
  <c r="O32" i="2" s="1"/>
  <c r="G32" i="2"/>
  <c r="Q31" i="2"/>
  <c r="N31" i="2"/>
  <c r="M31" i="2"/>
  <c r="P31" i="2" s="1"/>
  <c r="L31" i="2"/>
  <c r="O31" i="2" s="1"/>
  <c r="U31" i="2" s="1"/>
  <c r="Y31" i="2" s="1"/>
  <c r="G31" i="2"/>
  <c r="N30" i="2"/>
  <c r="Q30" i="2" s="1"/>
  <c r="M30" i="2"/>
  <c r="P30" i="2" s="1"/>
  <c r="L30" i="2"/>
  <c r="O30" i="2" s="1"/>
  <c r="G30" i="2"/>
  <c r="Q29" i="2"/>
  <c r="O29" i="2"/>
  <c r="N29" i="2"/>
  <c r="M29" i="2"/>
  <c r="P29" i="2" s="1"/>
  <c r="L29" i="2"/>
  <c r="G29" i="2"/>
  <c r="Q28" i="2"/>
  <c r="N28" i="2"/>
  <c r="M28" i="2"/>
  <c r="P28" i="2" s="1"/>
  <c r="L28" i="2"/>
  <c r="O28" i="2" s="1"/>
  <c r="G28" i="2"/>
  <c r="P27" i="2"/>
  <c r="N27" i="2"/>
  <c r="Q27" i="2" s="1"/>
  <c r="M27" i="2"/>
  <c r="L27" i="2"/>
  <c r="O27" i="2" s="1"/>
  <c r="G27" i="2"/>
  <c r="N26" i="2"/>
  <c r="Q26" i="2" s="1"/>
  <c r="M26" i="2"/>
  <c r="P26" i="2" s="1"/>
  <c r="L26" i="2"/>
  <c r="O26" i="2" s="1"/>
  <c r="G26" i="2"/>
  <c r="P25" i="2"/>
  <c r="N25" i="2"/>
  <c r="Q25" i="2" s="1"/>
  <c r="M25" i="2"/>
  <c r="L25" i="2"/>
  <c r="O25" i="2" s="1"/>
  <c r="G25" i="2"/>
  <c r="O24" i="2"/>
  <c r="U24" i="2" s="1"/>
  <c r="N24" i="2"/>
  <c r="Q24" i="2" s="1"/>
  <c r="M24" i="2"/>
  <c r="P24" i="2" s="1"/>
  <c r="L24" i="2"/>
  <c r="G24" i="2"/>
  <c r="Q23" i="2"/>
  <c r="N23" i="2"/>
  <c r="M23" i="2"/>
  <c r="P23" i="2" s="1"/>
  <c r="U23" i="2" s="1"/>
  <c r="Y23" i="2" s="1"/>
  <c r="L23" i="2"/>
  <c r="O23" i="2" s="1"/>
  <c r="G23" i="2"/>
  <c r="N22" i="2"/>
  <c r="Q22" i="2" s="1"/>
  <c r="M22" i="2"/>
  <c r="P22" i="2" s="1"/>
  <c r="L22" i="2"/>
  <c r="O22" i="2" s="1"/>
  <c r="G22" i="2"/>
  <c r="Q21" i="2"/>
  <c r="O21" i="2"/>
  <c r="N21" i="2"/>
  <c r="M21" i="2"/>
  <c r="P21" i="2" s="1"/>
  <c r="L21" i="2"/>
  <c r="G21" i="2"/>
  <c r="Q20" i="2"/>
  <c r="N20" i="2"/>
  <c r="M20" i="2"/>
  <c r="P20" i="2" s="1"/>
  <c r="L20" i="2"/>
  <c r="O20" i="2" s="1"/>
  <c r="G20" i="2"/>
  <c r="P19" i="2"/>
  <c r="N19" i="2"/>
  <c r="Q19" i="2" s="1"/>
  <c r="M19" i="2"/>
  <c r="L19" i="2"/>
  <c r="O19" i="2" s="1"/>
  <c r="G19" i="2"/>
  <c r="N18" i="2"/>
  <c r="Q18" i="2" s="1"/>
  <c r="M18" i="2"/>
  <c r="P18" i="2" s="1"/>
  <c r="L18" i="2"/>
  <c r="O18" i="2" s="1"/>
  <c r="G18" i="2"/>
  <c r="P17" i="2"/>
  <c r="N17" i="2"/>
  <c r="Q17" i="2" s="1"/>
  <c r="M17" i="2"/>
  <c r="L17" i="2"/>
  <c r="O17" i="2" s="1"/>
  <c r="G17" i="2"/>
  <c r="O16" i="2"/>
  <c r="N16" i="2"/>
  <c r="Q16" i="2" s="1"/>
  <c r="M16" i="2"/>
  <c r="P16" i="2" s="1"/>
  <c r="L16" i="2"/>
  <c r="G16" i="2"/>
  <c r="N15" i="2"/>
  <c r="Q15" i="2" s="1"/>
  <c r="M15" i="2"/>
  <c r="P15" i="2" s="1"/>
  <c r="L15" i="2"/>
  <c r="O15" i="2" s="1"/>
  <c r="G15" i="2"/>
  <c r="Q14" i="2"/>
  <c r="P14" i="2"/>
  <c r="N14" i="2"/>
  <c r="M14" i="2"/>
  <c r="L14" i="2"/>
  <c r="O14" i="2" s="1"/>
  <c r="G14" i="2"/>
  <c r="Q13" i="2"/>
  <c r="N13" i="2"/>
  <c r="M13" i="2"/>
  <c r="P13" i="2" s="1"/>
  <c r="L13" i="2"/>
  <c r="O13" i="2" s="1"/>
  <c r="G13" i="2"/>
  <c r="Q12" i="2"/>
  <c r="O12" i="2"/>
  <c r="N12" i="2"/>
  <c r="M12" i="2"/>
  <c r="P12" i="2" s="1"/>
  <c r="L12" i="2"/>
  <c r="G12" i="2"/>
  <c r="N11" i="2"/>
  <c r="Q11" i="2" s="1"/>
  <c r="M11" i="2"/>
  <c r="P11" i="2" s="1"/>
  <c r="L11" i="2"/>
  <c r="O11" i="2" s="1"/>
  <c r="G11" i="2"/>
  <c r="O10" i="2"/>
  <c r="N10" i="2"/>
  <c r="Q10" i="2" s="1"/>
  <c r="M10" i="2"/>
  <c r="P10" i="2" s="1"/>
  <c r="L10" i="2"/>
  <c r="G10" i="2"/>
  <c r="N9" i="2"/>
  <c r="Q9" i="2" s="1"/>
  <c r="M9" i="2"/>
  <c r="P9" i="2" s="1"/>
  <c r="L9" i="2"/>
  <c r="O9" i="2" s="1"/>
  <c r="G9" i="2"/>
  <c r="O8" i="2"/>
  <c r="N8" i="2"/>
  <c r="Q8" i="2" s="1"/>
  <c r="M8" i="2"/>
  <c r="P8" i="2" s="1"/>
  <c r="L8" i="2"/>
  <c r="G8" i="2"/>
  <c r="Q7" i="2"/>
  <c r="N7" i="2"/>
  <c r="M7" i="2"/>
  <c r="P7" i="2" s="1"/>
  <c r="L7" i="2"/>
  <c r="O7" i="2" s="1"/>
  <c r="G7" i="2"/>
  <c r="N6" i="2"/>
  <c r="Q6" i="2" s="1"/>
  <c r="M6" i="2"/>
  <c r="P6" i="2" s="1"/>
  <c r="L6" i="2"/>
  <c r="O6" i="2" s="1"/>
  <c r="G6" i="2"/>
  <c r="N5" i="2"/>
  <c r="Q5" i="2" s="1"/>
  <c r="M5" i="2"/>
  <c r="P5" i="2" s="1"/>
  <c r="L5" i="2"/>
  <c r="O5" i="2" s="1"/>
  <c r="G5" i="2"/>
  <c r="Q4" i="2"/>
  <c r="N4" i="2"/>
  <c r="M4" i="2"/>
  <c r="P4" i="2" s="1"/>
  <c r="L4" i="2"/>
  <c r="O4" i="2" s="1"/>
  <c r="G4" i="2"/>
  <c r="N3" i="2"/>
  <c r="Q3" i="2" s="1"/>
  <c r="M3" i="2"/>
  <c r="P3" i="2" s="1"/>
  <c r="L3" i="2"/>
  <c r="O3" i="2" s="1"/>
  <c r="G3" i="2"/>
  <c r="B1" i="2"/>
  <c r="T103" i="3" l="1"/>
  <c r="X103" i="3" s="1"/>
  <c r="U104" i="3"/>
  <c r="Y104" i="3" s="1"/>
  <c r="U76" i="3"/>
  <c r="S10" i="3"/>
  <c r="W10" i="3" s="1"/>
  <c r="U29" i="3"/>
  <c r="Y29" i="3" s="1"/>
  <c r="U37" i="3"/>
  <c r="Y37" i="3" s="1"/>
  <c r="U66" i="3"/>
  <c r="Y66" i="3" s="1"/>
  <c r="U68" i="3"/>
  <c r="Y68" i="3" s="1"/>
  <c r="U24" i="3"/>
  <c r="Y24" i="3" s="1"/>
  <c r="R26" i="3"/>
  <c r="V26" i="3" s="1"/>
  <c r="U52" i="3"/>
  <c r="S52" i="3"/>
  <c r="W52" i="3" s="1"/>
  <c r="U62" i="3"/>
  <c r="R62" i="3" s="1"/>
  <c r="V62" i="3" s="1"/>
  <c r="U88" i="3"/>
  <c r="R88" i="3" s="1"/>
  <c r="V88" i="3" s="1"/>
  <c r="U11" i="3"/>
  <c r="Y11" i="3" s="1"/>
  <c r="U12" i="3"/>
  <c r="Y12" i="3" s="1"/>
  <c r="U21" i="3"/>
  <c r="Y21" i="3" s="1"/>
  <c r="T21" i="3"/>
  <c r="X21" i="3" s="1"/>
  <c r="U6" i="3"/>
  <c r="R6" i="3" s="1"/>
  <c r="V6" i="3" s="1"/>
  <c r="U20" i="3"/>
  <c r="Y20" i="3" s="1"/>
  <c r="U14" i="3"/>
  <c r="R14" i="3"/>
  <c r="V14" i="3" s="1"/>
  <c r="U31" i="3"/>
  <c r="R31" i="3"/>
  <c r="V31" i="3" s="1"/>
  <c r="U8" i="3"/>
  <c r="Y8" i="3" s="1"/>
  <c r="U17" i="3"/>
  <c r="Y17" i="3" s="1"/>
  <c r="S22" i="3"/>
  <c r="W22" i="3" s="1"/>
  <c r="T14" i="3"/>
  <c r="X14" i="3" s="1"/>
  <c r="U16" i="3"/>
  <c r="Y16" i="3" s="1"/>
  <c r="U19" i="3"/>
  <c r="R19" i="3"/>
  <c r="V19" i="3" s="1"/>
  <c r="U25" i="3"/>
  <c r="Y25" i="3" s="1"/>
  <c r="U3" i="3"/>
  <c r="Y3" i="3" s="1"/>
  <c r="R3" i="3"/>
  <c r="V3" i="3" s="1"/>
  <c r="S5" i="3"/>
  <c r="W5" i="3" s="1"/>
  <c r="S16" i="3"/>
  <c r="W16" i="3" s="1"/>
  <c r="T5" i="3"/>
  <c r="X5" i="3" s="1"/>
  <c r="U7" i="3"/>
  <c r="S7" i="3" s="1"/>
  <c r="W7" i="3" s="1"/>
  <c r="T10" i="3"/>
  <c r="X10" i="3" s="1"/>
  <c r="T11" i="3"/>
  <c r="X11" i="3" s="1"/>
  <c r="S13" i="3"/>
  <c r="W13" i="3" s="1"/>
  <c r="U13" i="3"/>
  <c r="T16" i="3"/>
  <c r="X16" i="3" s="1"/>
  <c r="T19" i="3"/>
  <c r="X19" i="3" s="1"/>
  <c r="R21" i="3"/>
  <c r="V21" i="3" s="1"/>
  <c r="R4" i="3"/>
  <c r="V4" i="3" s="1"/>
  <c r="U4" i="3"/>
  <c r="Y4" i="3" s="1"/>
  <c r="R5" i="3"/>
  <c r="V5" i="3" s="1"/>
  <c r="Y5" i="3"/>
  <c r="T13" i="3"/>
  <c r="X13" i="3" s="1"/>
  <c r="U15" i="3"/>
  <c r="S15" i="3" s="1"/>
  <c r="W15" i="3" s="1"/>
  <c r="U18" i="3"/>
  <c r="S18" i="3" s="1"/>
  <c r="W18" i="3" s="1"/>
  <c r="U23" i="3"/>
  <c r="R23" i="3" s="1"/>
  <c r="V23" i="3" s="1"/>
  <c r="U9" i="3"/>
  <c r="Y9" i="3" s="1"/>
  <c r="T22" i="3"/>
  <c r="X22" i="3" s="1"/>
  <c r="T42" i="3"/>
  <c r="X42" i="3" s="1"/>
  <c r="T44" i="3"/>
  <c r="X44" i="3" s="1"/>
  <c r="U48" i="3"/>
  <c r="Y48" i="3" s="1"/>
  <c r="R48" i="3"/>
  <c r="V48" i="3" s="1"/>
  <c r="U49" i="3"/>
  <c r="Y49" i="3" s="1"/>
  <c r="U55" i="3"/>
  <c r="Y55" i="3" s="1"/>
  <c r="R55" i="3"/>
  <c r="V55" i="3" s="1"/>
  <c r="R68" i="3"/>
  <c r="V68" i="3" s="1"/>
  <c r="U71" i="3"/>
  <c r="Y71" i="3" s="1"/>
  <c r="S72" i="3"/>
  <c r="W72" i="3" s="1"/>
  <c r="U81" i="3"/>
  <c r="Y81" i="3" s="1"/>
  <c r="R81" i="3"/>
  <c r="V81" i="3" s="1"/>
  <c r="U35" i="3"/>
  <c r="R35" i="3"/>
  <c r="V35" i="3" s="1"/>
  <c r="S37" i="3"/>
  <c r="W37" i="3" s="1"/>
  <c r="U39" i="3"/>
  <c r="Y39" i="3" s="1"/>
  <c r="R42" i="3"/>
  <c r="V42" i="3" s="1"/>
  <c r="U65" i="3"/>
  <c r="U70" i="3"/>
  <c r="Y70" i="3" s="1"/>
  <c r="T37" i="3"/>
  <c r="X37" i="3" s="1"/>
  <c r="R38" i="3"/>
  <c r="V38" i="3" s="1"/>
  <c r="U38" i="3"/>
  <c r="Y38" i="3" s="1"/>
  <c r="S42" i="3"/>
  <c r="W42" i="3" s="1"/>
  <c r="U47" i="3"/>
  <c r="Y47" i="3" s="1"/>
  <c r="S48" i="3"/>
  <c r="W48" i="3" s="1"/>
  <c r="S55" i="3"/>
  <c r="W55" i="3" s="1"/>
  <c r="U69" i="3"/>
  <c r="R69" i="3" s="1"/>
  <c r="V69" i="3" s="1"/>
  <c r="T72" i="3"/>
  <c r="X72" i="3" s="1"/>
  <c r="U75" i="3"/>
  <c r="Y75" i="3" s="1"/>
  <c r="U79" i="3"/>
  <c r="S79" i="3" s="1"/>
  <c r="W79" i="3" s="1"/>
  <c r="T87" i="3"/>
  <c r="X87" i="3" s="1"/>
  <c r="U97" i="3"/>
  <c r="Y97" i="3" s="1"/>
  <c r="U98" i="3"/>
  <c r="Y98" i="3" s="1"/>
  <c r="R22" i="3"/>
  <c r="V22" i="3" s="1"/>
  <c r="U56" i="3"/>
  <c r="S56" i="3" s="1"/>
  <c r="W56" i="3" s="1"/>
  <c r="R10" i="3"/>
  <c r="V10" i="3" s="1"/>
  <c r="U32" i="3"/>
  <c r="Y32" i="3" s="1"/>
  <c r="U34" i="3"/>
  <c r="S34" i="3" s="1"/>
  <c r="W34" i="3" s="1"/>
  <c r="R37" i="3"/>
  <c r="V37" i="3" s="1"/>
  <c r="R44" i="3"/>
  <c r="V44" i="3" s="1"/>
  <c r="U46" i="3"/>
  <c r="Y46" i="3" s="1"/>
  <c r="S47" i="3"/>
  <c r="W47" i="3" s="1"/>
  <c r="T48" i="3"/>
  <c r="X48" i="3" s="1"/>
  <c r="U54" i="3"/>
  <c r="Y54" i="3" s="1"/>
  <c r="T55" i="3"/>
  <c r="X55" i="3" s="1"/>
  <c r="T63" i="3"/>
  <c r="X63" i="3" s="1"/>
  <c r="T66" i="3"/>
  <c r="X66" i="3" s="1"/>
  <c r="R72" i="3"/>
  <c r="V72" i="3" s="1"/>
  <c r="U96" i="3"/>
  <c r="T96" i="3" s="1"/>
  <c r="X96" i="3" s="1"/>
  <c r="U100" i="3"/>
  <c r="S100" i="3" s="1"/>
  <c r="W100" i="3" s="1"/>
  <c r="S38" i="3"/>
  <c r="W38" i="3" s="1"/>
  <c r="Y60" i="3"/>
  <c r="S60" i="3"/>
  <c r="W60" i="3" s="1"/>
  <c r="R24" i="3"/>
  <c r="V24" i="3" s="1"/>
  <c r="S24" i="3"/>
  <c r="W24" i="3" s="1"/>
  <c r="T30" i="3"/>
  <c r="X30" i="3" s="1"/>
  <c r="U33" i="3"/>
  <c r="T33" i="3" s="1"/>
  <c r="X33" i="3" s="1"/>
  <c r="U43" i="3"/>
  <c r="R43" i="3" s="1"/>
  <c r="V43" i="3" s="1"/>
  <c r="S44" i="3"/>
  <c r="W44" i="3" s="1"/>
  <c r="U63" i="3"/>
  <c r="S63" i="3" s="1"/>
  <c r="W63" i="3" s="1"/>
  <c r="U64" i="3"/>
  <c r="R64" i="3" s="1"/>
  <c r="V64" i="3" s="1"/>
  <c r="T70" i="3"/>
  <c r="X70" i="3" s="1"/>
  <c r="U74" i="3"/>
  <c r="Y74" i="3" s="1"/>
  <c r="U27" i="3"/>
  <c r="S27" i="3" s="1"/>
  <c r="W27" i="3" s="1"/>
  <c r="U80" i="3"/>
  <c r="S80" i="3" s="1"/>
  <c r="W80" i="3" s="1"/>
  <c r="U28" i="3"/>
  <c r="R29" i="3"/>
  <c r="V29" i="3" s="1"/>
  <c r="U30" i="3"/>
  <c r="Y30" i="3" s="1"/>
  <c r="U36" i="3"/>
  <c r="U45" i="3"/>
  <c r="Y45" i="3" s="1"/>
  <c r="U50" i="3"/>
  <c r="R50" i="3"/>
  <c r="V50" i="3" s="1"/>
  <c r="U51" i="3"/>
  <c r="T51" i="3" s="1"/>
  <c r="X51" i="3" s="1"/>
  <c r="U57" i="3"/>
  <c r="U59" i="3"/>
  <c r="S59" i="3" s="1"/>
  <c r="W59" i="3" s="1"/>
  <c r="U67" i="3"/>
  <c r="T67" i="3" s="1"/>
  <c r="X67" i="3" s="1"/>
  <c r="T68" i="3"/>
  <c r="X68" i="3" s="1"/>
  <c r="U73" i="3"/>
  <c r="R73" i="3"/>
  <c r="V73" i="3" s="1"/>
  <c r="U78" i="3"/>
  <c r="R78" i="3" s="1"/>
  <c r="V78" i="3" s="1"/>
  <c r="U82" i="3"/>
  <c r="Y82" i="3" s="1"/>
  <c r="U58" i="3"/>
  <c r="Y58" i="3" s="1"/>
  <c r="S73" i="3"/>
  <c r="W73" i="3" s="1"/>
  <c r="T26" i="3"/>
  <c r="X26" i="3" s="1"/>
  <c r="R30" i="3"/>
  <c r="V30" i="3" s="1"/>
  <c r="U40" i="3"/>
  <c r="Y40" i="3" s="1"/>
  <c r="R40" i="3"/>
  <c r="V40" i="3" s="1"/>
  <c r="U41" i="3"/>
  <c r="U53" i="3"/>
  <c r="R53" i="3" s="1"/>
  <c r="V53" i="3" s="1"/>
  <c r="R60" i="3"/>
  <c r="V60" i="3" s="1"/>
  <c r="U61" i="3"/>
  <c r="R61" i="3" s="1"/>
  <c r="V61" i="3" s="1"/>
  <c r="T81" i="3"/>
  <c r="X81" i="3" s="1"/>
  <c r="Y88" i="3"/>
  <c r="U95" i="3"/>
  <c r="R95" i="3" s="1"/>
  <c r="V95" i="3" s="1"/>
  <c r="U83" i="3"/>
  <c r="Y83" i="3" s="1"/>
  <c r="U85" i="3"/>
  <c r="T85" i="3" s="1"/>
  <c r="X85" i="3" s="1"/>
  <c r="U99" i="3"/>
  <c r="Y99" i="3" s="1"/>
  <c r="R99" i="3"/>
  <c r="V99" i="3" s="1"/>
  <c r="U101" i="3"/>
  <c r="U77" i="3"/>
  <c r="T77" i="3" s="1"/>
  <c r="X77" i="3" s="1"/>
  <c r="S81" i="3"/>
  <c r="W81" i="3" s="1"/>
  <c r="S83" i="3"/>
  <c r="W83" i="3" s="1"/>
  <c r="U84" i="3"/>
  <c r="U94" i="3"/>
  <c r="R94" i="3" s="1"/>
  <c r="V94" i="3" s="1"/>
  <c r="U109" i="3"/>
  <c r="Y109" i="3" s="1"/>
  <c r="S76" i="3"/>
  <c r="W76" i="3" s="1"/>
  <c r="R85" i="3"/>
  <c r="V85" i="3" s="1"/>
  <c r="U91" i="3"/>
  <c r="Y91" i="3" s="1"/>
  <c r="U93" i="3"/>
  <c r="T100" i="3"/>
  <c r="X100" i="3" s="1"/>
  <c r="U107" i="3"/>
  <c r="Y107" i="3" s="1"/>
  <c r="U108" i="3"/>
  <c r="T108" i="3" s="1"/>
  <c r="X108" i="3" s="1"/>
  <c r="S75" i="3"/>
  <c r="W75" i="3" s="1"/>
  <c r="U92" i="3"/>
  <c r="T92" i="3" s="1"/>
  <c r="X92" i="3" s="1"/>
  <c r="S92" i="3"/>
  <c r="W92" i="3" s="1"/>
  <c r="S104" i="3"/>
  <c r="W104" i="3" s="1"/>
  <c r="S108" i="3"/>
  <c r="W108" i="3" s="1"/>
  <c r="T60" i="3"/>
  <c r="X60" i="3" s="1"/>
  <c r="T75" i="3"/>
  <c r="X75" i="3" s="1"/>
  <c r="R87" i="3"/>
  <c r="V87" i="3" s="1"/>
  <c r="U89" i="3"/>
  <c r="Y89" i="3" s="1"/>
  <c r="R89" i="3"/>
  <c r="V89" i="3" s="1"/>
  <c r="U90" i="3"/>
  <c r="Y90" i="3" s="1"/>
  <c r="R103" i="3"/>
  <c r="V103" i="3" s="1"/>
  <c r="T104" i="3"/>
  <c r="X104" i="3" s="1"/>
  <c r="U105" i="3"/>
  <c r="Y105" i="3" s="1"/>
  <c r="U106" i="3"/>
  <c r="Y106" i="3" s="1"/>
  <c r="R106" i="3"/>
  <c r="V106" i="3" s="1"/>
  <c r="T76" i="3"/>
  <c r="X76" i="3" s="1"/>
  <c r="U86" i="3"/>
  <c r="S87" i="3"/>
  <c r="W87" i="3" s="1"/>
  <c r="S91" i="3"/>
  <c r="W91" i="3" s="1"/>
  <c r="U102" i="3"/>
  <c r="S102" i="3" s="1"/>
  <c r="W102" i="3" s="1"/>
  <c r="S103" i="3"/>
  <c r="W103" i="3" s="1"/>
  <c r="R104" i="3"/>
  <c r="V104" i="3" s="1"/>
  <c r="S105" i="3"/>
  <c r="W105" i="3" s="1"/>
  <c r="T31" i="2"/>
  <c r="X31" i="2" s="1"/>
  <c r="S87" i="2"/>
  <c r="W87" i="2" s="1"/>
  <c r="U13" i="2"/>
  <c r="S13" i="2" s="1"/>
  <c r="W13" i="2" s="1"/>
  <c r="R13" i="2"/>
  <c r="V13" i="2" s="1"/>
  <c r="S5" i="2"/>
  <c r="W5" i="2" s="1"/>
  <c r="S50" i="2"/>
  <c r="W50" i="2" s="1"/>
  <c r="U5" i="2"/>
  <c r="R5" i="2"/>
  <c r="V5" i="2" s="1"/>
  <c r="U63" i="2"/>
  <c r="U79" i="2"/>
  <c r="T79" i="2" s="1"/>
  <c r="X79" i="2" s="1"/>
  <c r="U88" i="2"/>
  <c r="R88" i="2" s="1"/>
  <c r="V88" i="2" s="1"/>
  <c r="U8" i="2"/>
  <c r="U55" i="2"/>
  <c r="Y55" i="2" s="1"/>
  <c r="U80" i="2"/>
  <c r="T80" i="2" s="1"/>
  <c r="X80" i="2" s="1"/>
  <c r="U7" i="2"/>
  <c r="R7" i="2" s="1"/>
  <c r="V7" i="2" s="1"/>
  <c r="U16" i="2"/>
  <c r="U29" i="2"/>
  <c r="U32" i="2"/>
  <c r="S32" i="2" s="1"/>
  <c r="W32" i="2" s="1"/>
  <c r="U44" i="2"/>
  <c r="T44" i="2" s="1"/>
  <c r="X44" i="2" s="1"/>
  <c r="U71" i="2"/>
  <c r="T96" i="2"/>
  <c r="X96" i="2" s="1"/>
  <c r="Y47" i="2"/>
  <c r="T47" i="2"/>
  <c r="X47" i="2" s="1"/>
  <c r="R8" i="2"/>
  <c r="V8" i="2" s="1"/>
  <c r="Y8" i="2"/>
  <c r="S8" i="2"/>
  <c r="W8" i="2" s="1"/>
  <c r="Y7" i="2"/>
  <c r="T7" i="2"/>
  <c r="X7" i="2" s="1"/>
  <c r="R16" i="2"/>
  <c r="V16" i="2" s="1"/>
  <c r="Y16" i="2"/>
  <c r="U14" i="2"/>
  <c r="R14" i="2"/>
  <c r="V14" i="2" s="1"/>
  <c r="U17" i="2"/>
  <c r="T17" i="2" s="1"/>
  <c r="X17" i="2" s="1"/>
  <c r="U77" i="2"/>
  <c r="Y77" i="2" s="1"/>
  <c r="T5" i="2"/>
  <c r="X5" i="2" s="1"/>
  <c r="Y5" i="2"/>
  <c r="U28" i="2"/>
  <c r="R28" i="2" s="1"/>
  <c r="V28" i="2" s="1"/>
  <c r="S31" i="2"/>
  <c r="W31" i="2" s="1"/>
  <c r="T8" i="2"/>
  <c r="X8" i="2" s="1"/>
  <c r="U11" i="2"/>
  <c r="Y11" i="2" s="1"/>
  <c r="U19" i="2"/>
  <c r="Y19" i="2" s="1"/>
  <c r="R19" i="2"/>
  <c r="V19" i="2" s="1"/>
  <c r="U20" i="2"/>
  <c r="U22" i="2"/>
  <c r="S23" i="2"/>
  <c r="W23" i="2" s="1"/>
  <c r="T24" i="2"/>
  <c r="X24" i="2" s="1"/>
  <c r="U25" i="2"/>
  <c r="U26" i="2"/>
  <c r="R26" i="2"/>
  <c r="V26" i="2" s="1"/>
  <c r="U35" i="2"/>
  <c r="U37" i="2"/>
  <c r="S37" i="2" s="1"/>
  <c r="W37" i="2" s="1"/>
  <c r="T39" i="2"/>
  <c r="X39" i="2" s="1"/>
  <c r="T29" i="2"/>
  <c r="X29" i="2" s="1"/>
  <c r="Y29" i="2"/>
  <c r="U10" i="2"/>
  <c r="R18" i="2"/>
  <c r="V18" i="2" s="1"/>
  <c r="U18" i="2"/>
  <c r="R63" i="2"/>
  <c r="V63" i="2" s="1"/>
  <c r="Y63" i="2"/>
  <c r="S10" i="2"/>
  <c r="W10" i="2" s="1"/>
  <c r="S11" i="2"/>
  <c r="W11" i="2" s="1"/>
  <c r="U12" i="2"/>
  <c r="S12" i="2" s="1"/>
  <c r="W12" i="2" s="1"/>
  <c r="T13" i="2"/>
  <c r="X13" i="2" s="1"/>
  <c r="Y13" i="2"/>
  <c r="U21" i="2"/>
  <c r="S21" i="2" s="1"/>
  <c r="W21" i="2" s="1"/>
  <c r="T23" i="2"/>
  <c r="X23" i="2" s="1"/>
  <c r="R29" i="2"/>
  <c r="V29" i="2" s="1"/>
  <c r="R47" i="2"/>
  <c r="V47" i="2" s="1"/>
  <c r="U3" i="2"/>
  <c r="Y3" i="2" s="1"/>
  <c r="R3" i="2"/>
  <c r="V3" i="2" s="1"/>
  <c r="R39" i="2"/>
  <c r="V39" i="2" s="1"/>
  <c r="U46" i="2"/>
  <c r="R46" i="2"/>
  <c r="V46" i="2" s="1"/>
  <c r="S47" i="2"/>
  <c r="W47" i="2" s="1"/>
  <c r="U49" i="2"/>
  <c r="Y49" i="2" s="1"/>
  <c r="R49" i="2"/>
  <c r="V49" i="2" s="1"/>
  <c r="U9" i="2"/>
  <c r="S26" i="2"/>
  <c r="W26" i="2" s="1"/>
  <c r="T16" i="2"/>
  <c r="X16" i="2" s="1"/>
  <c r="Y50" i="2"/>
  <c r="T50" i="2"/>
  <c r="X50" i="2" s="1"/>
  <c r="U56" i="2"/>
  <c r="U72" i="2"/>
  <c r="R72" i="2" s="1"/>
  <c r="V72" i="2" s="1"/>
  <c r="U82" i="2"/>
  <c r="R82" i="2"/>
  <c r="V82" i="2" s="1"/>
  <c r="U105" i="2"/>
  <c r="Y105" i="2" s="1"/>
  <c r="R105" i="2"/>
  <c r="V105" i="2" s="1"/>
  <c r="T11" i="2"/>
  <c r="X11" i="2" s="1"/>
  <c r="T19" i="2"/>
  <c r="X19" i="2" s="1"/>
  <c r="S29" i="2"/>
  <c r="W29" i="2" s="1"/>
  <c r="U4" i="2"/>
  <c r="T4" i="2" s="1"/>
  <c r="X4" i="2" s="1"/>
  <c r="U6" i="2"/>
  <c r="R6" i="2" s="1"/>
  <c r="V6" i="2" s="1"/>
  <c r="R31" i="2"/>
  <c r="V31" i="2" s="1"/>
  <c r="U36" i="2"/>
  <c r="T36" i="2" s="1"/>
  <c r="X36" i="2" s="1"/>
  <c r="U38" i="2"/>
  <c r="R38" i="2" s="1"/>
  <c r="V38" i="2" s="1"/>
  <c r="S39" i="2"/>
  <c r="W39" i="2" s="1"/>
  <c r="U41" i="2"/>
  <c r="R41" i="2" s="1"/>
  <c r="V41" i="2" s="1"/>
  <c r="U42" i="2"/>
  <c r="R42" i="2"/>
  <c r="V42" i="2" s="1"/>
  <c r="S51" i="2"/>
  <c r="W51" i="2" s="1"/>
  <c r="S16" i="2"/>
  <c r="W16" i="2" s="1"/>
  <c r="T35" i="2"/>
  <c r="X35" i="2" s="1"/>
  <c r="R24" i="2"/>
  <c r="V24" i="2" s="1"/>
  <c r="Y24" i="2"/>
  <c r="U75" i="2"/>
  <c r="Y75" i="2" s="1"/>
  <c r="U27" i="2"/>
  <c r="Y27" i="2" s="1"/>
  <c r="U33" i="2"/>
  <c r="R33" i="2" s="1"/>
  <c r="V33" i="2" s="1"/>
  <c r="U34" i="2"/>
  <c r="S42" i="2"/>
  <c r="W42" i="2" s="1"/>
  <c r="U48" i="2"/>
  <c r="S48" i="2" s="1"/>
  <c r="W48" i="2" s="1"/>
  <c r="R50" i="2"/>
  <c r="V50" i="2" s="1"/>
  <c r="U15" i="2"/>
  <c r="U30" i="2"/>
  <c r="R30" i="2" s="1"/>
  <c r="V30" i="2" s="1"/>
  <c r="S7" i="2"/>
  <c r="W7" i="2" s="1"/>
  <c r="R23" i="2"/>
  <c r="V23" i="2" s="1"/>
  <c r="S24" i="2"/>
  <c r="W24" i="2" s="1"/>
  <c r="T25" i="2"/>
  <c r="X25" i="2" s="1"/>
  <c r="U40" i="2"/>
  <c r="T40" i="2" s="1"/>
  <c r="X40" i="2" s="1"/>
  <c r="U43" i="2"/>
  <c r="S43" i="2"/>
  <c r="W43" i="2" s="1"/>
  <c r="U45" i="2"/>
  <c r="Y51" i="2"/>
  <c r="T51" i="2"/>
  <c r="X51" i="2" s="1"/>
  <c r="R55" i="2"/>
  <c r="V55" i="2" s="1"/>
  <c r="U57" i="2"/>
  <c r="R57" i="2" s="1"/>
  <c r="V57" i="2" s="1"/>
  <c r="U60" i="2"/>
  <c r="Y60" i="2" s="1"/>
  <c r="T71" i="2"/>
  <c r="X71" i="2" s="1"/>
  <c r="U73" i="2"/>
  <c r="R73" i="2" s="1"/>
  <c r="V73" i="2" s="1"/>
  <c r="S80" i="2"/>
  <c r="W80" i="2" s="1"/>
  <c r="R80" i="2"/>
  <c r="V80" i="2" s="1"/>
  <c r="Y80" i="2"/>
  <c r="U97" i="2"/>
  <c r="Y97" i="2" s="1"/>
  <c r="S103" i="2"/>
  <c r="W103" i="2" s="1"/>
  <c r="T104" i="2"/>
  <c r="X104" i="2" s="1"/>
  <c r="U106" i="2"/>
  <c r="Y106" i="2" s="1"/>
  <c r="U52" i="2"/>
  <c r="Y52" i="2" s="1"/>
  <c r="U59" i="2"/>
  <c r="Y59" i="2" s="1"/>
  <c r="R59" i="2"/>
  <c r="V59" i="2" s="1"/>
  <c r="U66" i="2"/>
  <c r="Y66" i="2" s="1"/>
  <c r="U69" i="2"/>
  <c r="Y69" i="2" s="1"/>
  <c r="S73" i="2"/>
  <c r="W73" i="2" s="1"/>
  <c r="U91" i="2"/>
  <c r="Y91" i="2" s="1"/>
  <c r="R91" i="2"/>
  <c r="V91" i="2" s="1"/>
  <c r="U93" i="2"/>
  <c r="Y93" i="2" s="1"/>
  <c r="U108" i="2"/>
  <c r="Y108" i="2" s="1"/>
  <c r="T59" i="2"/>
  <c r="X59" i="2" s="1"/>
  <c r="S63" i="2"/>
  <c r="W63" i="2" s="1"/>
  <c r="T66" i="2"/>
  <c r="X66" i="2" s="1"/>
  <c r="S82" i="2"/>
  <c r="W82" i="2" s="1"/>
  <c r="U84" i="2"/>
  <c r="Y84" i="2" s="1"/>
  <c r="R87" i="2"/>
  <c r="V87" i="2" s="1"/>
  <c r="Y87" i="2"/>
  <c r="T91" i="2"/>
  <c r="X91" i="2" s="1"/>
  <c r="U99" i="2"/>
  <c r="Y99" i="2" s="1"/>
  <c r="U101" i="2"/>
  <c r="Y101" i="2" s="1"/>
  <c r="R101" i="2"/>
  <c r="V101" i="2" s="1"/>
  <c r="S62" i="2"/>
  <c r="W62" i="2" s="1"/>
  <c r="T63" i="2"/>
  <c r="X63" i="2" s="1"/>
  <c r="U65" i="2"/>
  <c r="R65" i="2"/>
  <c r="V65" i="2" s="1"/>
  <c r="U68" i="2"/>
  <c r="Y68" i="2" s="1"/>
  <c r="T77" i="2"/>
  <c r="X77" i="2" s="1"/>
  <c r="U81" i="2"/>
  <c r="T81" i="2" s="1"/>
  <c r="X81" i="2" s="1"/>
  <c r="U90" i="2"/>
  <c r="Y90" i="2" s="1"/>
  <c r="R90" i="2"/>
  <c r="V90" i="2" s="1"/>
  <c r="R96" i="2"/>
  <c r="V96" i="2" s="1"/>
  <c r="Y96" i="2"/>
  <c r="R51" i="2"/>
  <c r="V51" i="2" s="1"/>
  <c r="U58" i="2"/>
  <c r="Y58" i="2" s="1"/>
  <c r="R58" i="2"/>
  <c r="V58" i="2" s="1"/>
  <c r="U61" i="2"/>
  <c r="Y61" i="2" s="1"/>
  <c r="T62" i="2"/>
  <c r="X62" i="2" s="1"/>
  <c r="S65" i="2"/>
  <c r="W65" i="2" s="1"/>
  <c r="U67" i="2"/>
  <c r="Y67" i="2" s="1"/>
  <c r="R67" i="2"/>
  <c r="V67" i="2" s="1"/>
  <c r="U74" i="2"/>
  <c r="R74" i="2" s="1"/>
  <c r="V74" i="2" s="1"/>
  <c r="S77" i="2"/>
  <c r="W77" i="2" s="1"/>
  <c r="T87" i="2"/>
  <c r="X87" i="2" s="1"/>
  <c r="U92" i="2"/>
  <c r="Y92" i="2" s="1"/>
  <c r="S96" i="2"/>
  <c r="W96" i="2" s="1"/>
  <c r="T99" i="2"/>
  <c r="X99" i="2" s="1"/>
  <c r="S105" i="2"/>
  <c r="W105" i="2" s="1"/>
  <c r="U107" i="2"/>
  <c r="Y107" i="2" s="1"/>
  <c r="R107" i="2"/>
  <c r="V107" i="2" s="1"/>
  <c r="U109" i="2"/>
  <c r="Y109" i="2" s="1"/>
  <c r="T56" i="2"/>
  <c r="X56" i="2" s="1"/>
  <c r="S60" i="2"/>
  <c r="W60" i="2" s="1"/>
  <c r="U64" i="2"/>
  <c r="T64" i="2" s="1"/>
  <c r="X64" i="2" s="1"/>
  <c r="S67" i="2"/>
  <c r="W67" i="2" s="1"/>
  <c r="R71" i="2"/>
  <c r="V71" i="2" s="1"/>
  <c r="Y71" i="2"/>
  <c r="U76" i="2"/>
  <c r="Y76" i="2" s="1"/>
  <c r="R86" i="2"/>
  <c r="V86" i="2" s="1"/>
  <c r="U89" i="2"/>
  <c r="R89" i="2"/>
  <c r="V89" i="2" s="1"/>
  <c r="U98" i="2"/>
  <c r="Y98" i="2" s="1"/>
  <c r="R104" i="2"/>
  <c r="V104" i="2" s="1"/>
  <c r="Y104" i="2"/>
  <c r="T105" i="2"/>
  <c r="X105" i="2" s="1"/>
  <c r="S107" i="2"/>
  <c r="W107" i="2" s="1"/>
  <c r="U53" i="2"/>
  <c r="Y53" i="2" s="1"/>
  <c r="T55" i="2"/>
  <c r="X55" i="2" s="1"/>
  <c r="T58" i="2"/>
  <c r="X58" i="2" s="1"/>
  <c r="T67" i="2"/>
  <c r="X67" i="2" s="1"/>
  <c r="S71" i="2"/>
  <c r="W71" i="2" s="1"/>
  <c r="U83" i="2"/>
  <c r="Y83" i="2" s="1"/>
  <c r="U85" i="2"/>
  <c r="Y85" i="2" s="1"/>
  <c r="T90" i="2"/>
  <c r="X90" i="2" s="1"/>
  <c r="U100" i="2"/>
  <c r="Y100" i="2" s="1"/>
  <c r="S104" i="2"/>
  <c r="W104" i="2" s="1"/>
  <c r="T107" i="2"/>
  <c r="X107" i="2" s="1"/>
  <c r="R53" i="2"/>
  <c r="V53" i="2" s="1"/>
  <c r="R61" i="2"/>
  <c r="V61" i="2" s="1"/>
  <c r="R68" i="2"/>
  <c r="V68" i="2" s="1"/>
  <c r="U95" i="2"/>
  <c r="Y95" i="2" s="1"/>
  <c r="U103" i="2"/>
  <c r="Y103" i="2" s="1"/>
  <c r="U54" i="2"/>
  <c r="Y54" i="2" s="1"/>
  <c r="U62" i="2"/>
  <c r="Y62" i="2" s="1"/>
  <c r="U70" i="2"/>
  <c r="Y70" i="2" s="1"/>
  <c r="U78" i="2"/>
  <c r="Y78" i="2" s="1"/>
  <c r="U86" i="2"/>
  <c r="Y86" i="2" s="1"/>
  <c r="U94" i="2"/>
  <c r="Y94" i="2" s="1"/>
  <c r="U102" i="2"/>
  <c r="Y102" i="2" s="1"/>
  <c r="B1" i="1"/>
  <c r="R7" i="3" l="1"/>
  <c r="V7" i="3" s="1"/>
  <c r="T88" i="3"/>
  <c r="X88" i="3" s="1"/>
  <c r="T98" i="3"/>
  <c r="X98" i="3" s="1"/>
  <c r="Y52" i="3"/>
  <c r="R52" i="3"/>
  <c r="V52" i="3" s="1"/>
  <c r="R102" i="3"/>
  <c r="V102" i="3" s="1"/>
  <c r="S88" i="3"/>
  <c r="W88" i="3" s="1"/>
  <c r="T59" i="3"/>
  <c r="X59" i="3" s="1"/>
  <c r="S62" i="3"/>
  <c r="W62" i="3" s="1"/>
  <c r="S25" i="3"/>
  <c r="W25" i="3" s="1"/>
  <c r="R75" i="3"/>
  <c r="V75" i="3" s="1"/>
  <c r="R47" i="3"/>
  <c r="V47" i="3" s="1"/>
  <c r="T62" i="3"/>
  <c r="X62" i="3" s="1"/>
  <c r="S11" i="3"/>
  <c r="W11" i="3" s="1"/>
  <c r="R12" i="3"/>
  <c r="V12" i="3" s="1"/>
  <c r="R76" i="3"/>
  <c r="V76" i="3" s="1"/>
  <c r="Y76" i="3"/>
  <c r="S17" i="3"/>
  <c r="W17" i="3" s="1"/>
  <c r="R66" i="3"/>
  <c r="V66" i="3" s="1"/>
  <c r="S53" i="3"/>
  <c r="W53" i="3" s="1"/>
  <c r="Y62" i="3"/>
  <c r="S66" i="3"/>
  <c r="W66" i="3" s="1"/>
  <c r="T34" i="3"/>
  <c r="X34" i="3" s="1"/>
  <c r="T29" i="3"/>
  <c r="X29" i="3" s="1"/>
  <c r="S33" i="3"/>
  <c r="W33" i="3" s="1"/>
  <c r="R17" i="3"/>
  <c r="V17" i="3" s="1"/>
  <c r="S29" i="3"/>
  <c r="W29" i="3" s="1"/>
  <c r="S89" i="3"/>
  <c r="W89" i="3" s="1"/>
  <c r="T82" i="3"/>
  <c r="X82" i="3" s="1"/>
  <c r="S82" i="3"/>
  <c r="W82" i="3" s="1"/>
  <c r="T52" i="3"/>
  <c r="X52" i="3" s="1"/>
  <c r="T18" i="3"/>
  <c r="X18" i="3" s="1"/>
  <c r="R32" i="3"/>
  <c r="V32" i="3" s="1"/>
  <c r="S21" i="3"/>
  <c r="W21" i="3" s="1"/>
  <c r="T38" i="3"/>
  <c r="X38" i="3" s="1"/>
  <c r="T3" i="3"/>
  <c r="X3" i="3" s="1"/>
  <c r="R11" i="3"/>
  <c r="V11" i="3" s="1"/>
  <c r="S68" i="3"/>
  <c r="W68" i="3" s="1"/>
  <c r="T24" i="3"/>
  <c r="X24" i="3" s="1"/>
  <c r="S98" i="3"/>
  <c r="W98" i="3" s="1"/>
  <c r="T39" i="3"/>
  <c r="X39" i="3" s="1"/>
  <c r="S107" i="3"/>
  <c r="W107" i="3" s="1"/>
  <c r="T109" i="3"/>
  <c r="X109" i="3" s="1"/>
  <c r="R82" i="3"/>
  <c r="V82" i="3" s="1"/>
  <c r="S20" i="3"/>
  <c r="W20" i="3" s="1"/>
  <c r="T32" i="3"/>
  <c r="X32" i="3" s="1"/>
  <c r="R109" i="3"/>
  <c r="V109" i="3" s="1"/>
  <c r="R90" i="3"/>
  <c r="V90" i="3" s="1"/>
  <c r="T99" i="3"/>
  <c r="X99" i="3" s="1"/>
  <c r="Y101" i="3"/>
  <c r="S101" i="3"/>
  <c r="W101" i="3" s="1"/>
  <c r="Y41" i="3"/>
  <c r="R41" i="3"/>
  <c r="V41" i="3" s="1"/>
  <c r="Y78" i="3"/>
  <c r="T78" i="3"/>
  <c r="X78" i="3" s="1"/>
  <c r="S78" i="3"/>
  <c r="W78" i="3" s="1"/>
  <c r="Y57" i="3"/>
  <c r="T57" i="3"/>
  <c r="X57" i="3" s="1"/>
  <c r="Y27" i="3"/>
  <c r="T27" i="3"/>
  <c r="X27" i="3" s="1"/>
  <c r="T47" i="3"/>
  <c r="X47" i="3" s="1"/>
  <c r="R97" i="3"/>
  <c r="V97" i="3" s="1"/>
  <c r="T71" i="3"/>
  <c r="X71" i="3" s="1"/>
  <c r="Y65" i="3"/>
  <c r="S65" i="3"/>
  <c r="W65" i="3" s="1"/>
  <c r="T56" i="3"/>
  <c r="X56" i="3" s="1"/>
  <c r="S30" i="3"/>
  <c r="W30" i="3" s="1"/>
  <c r="Y7" i="3"/>
  <c r="T7" i="3"/>
  <c r="X7" i="3" s="1"/>
  <c r="T20" i="3"/>
  <c r="X20" i="3" s="1"/>
  <c r="S70" i="3"/>
  <c r="W70" i="3" s="1"/>
  <c r="T4" i="3"/>
  <c r="X4" i="3" s="1"/>
  <c r="R51" i="3"/>
  <c r="V51" i="3" s="1"/>
  <c r="Y51" i="3"/>
  <c r="Y69" i="3"/>
  <c r="S69" i="3"/>
  <c r="W69" i="3" s="1"/>
  <c r="R71" i="3"/>
  <c r="V71" i="3" s="1"/>
  <c r="Y19" i="3"/>
  <c r="S19" i="3"/>
  <c r="W19" i="3" s="1"/>
  <c r="Y31" i="3"/>
  <c r="S31" i="3"/>
  <c r="W31" i="3" s="1"/>
  <c r="T31" i="3"/>
  <c r="X31" i="3" s="1"/>
  <c r="S106" i="3"/>
  <c r="W106" i="3" s="1"/>
  <c r="R105" i="3"/>
  <c r="V105" i="3" s="1"/>
  <c r="T105" i="3"/>
  <c r="X105" i="3" s="1"/>
  <c r="R108" i="3"/>
  <c r="V108" i="3" s="1"/>
  <c r="Y108" i="3"/>
  <c r="R91" i="3"/>
  <c r="V91" i="3" s="1"/>
  <c r="S99" i="3"/>
  <c r="W99" i="3" s="1"/>
  <c r="S57" i="3"/>
  <c r="W57" i="3" s="1"/>
  <c r="Y73" i="3"/>
  <c r="T73" i="3"/>
  <c r="X73" i="3" s="1"/>
  <c r="Y50" i="3"/>
  <c r="T50" i="3"/>
  <c r="X50" i="3" s="1"/>
  <c r="S50" i="3"/>
  <c r="W50" i="3" s="1"/>
  <c r="R80" i="3"/>
  <c r="V80" i="3" s="1"/>
  <c r="Y80" i="3"/>
  <c r="R74" i="3"/>
  <c r="V74" i="3" s="1"/>
  <c r="T45" i="3"/>
  <c r="X45" i="3" s="1"/>
  <c r="R46" i="3"/>
  <c r="V46" i="3" s="1"/>
  <c r="T80" i="3"/>
  <c r="X80" i="3" s="1"/>
  <c r="R98" i="3"/>
  <c r="V98" i="3" s="1"/>
  <c r="Y79" i="3"/>
  <c r="T79" i="3"/>
  <c r="X79" i="3" s="1"/>
  <c r="T46" i="3"/>
  <c r="X46" i="3" s="1"/>
  <c r="R39" i="3"/>
  <c r="V39" i="3" s="1"/>
  <c r="Y35" i="3"/>
  <c r="T35" i="3"/>
  <c r="X35" i="3" s="1"/>
  <c r="S35" i="3"/>
  <c r="W35" i="3" s="1"/>
  <c r="Y23" i="3"/>
  <c r="S23" i="3"/>
  <c r="W23" i="3" s="1"/>
  <c r="T23" i="3"/>
  <c r="X23" i="3" s="1"/>
  <c r="R25" i="3"/>
  <c r="V25" i="3" s="1"/>
  <c r="R20" i="3"/>
  <c r="V20" i="3" s="1"/>
  <c r="S9" i="3"/>
  <c r="W9" i="3" s="1"/>
  <c r="Y61" i="3"/>
  <c r="T61" i="3"/>
  <c r="X61" i="3" s="1"/>
  <c r="T28" i="3"/>
  <c r="X28" i="3" s="1"/>
  <c r="Y28" i="3"/>
  <c r="Y93" i="3"/>
  <c r="R93" i="3"/>
  <c r="V93" i="3" s="1"/>
  <c r="S93" i="3"/>
  <c r="W93" i="3" s="1"/>
  <c r="Y95" i="3"/>
  <c r="T95" i="3"/>
  <c r="X95" i="3" s="1"/>
  <c r="R58" i="3"/>
  <c r="V58" i="3" s="1"/>
  <c r="R107" i="3"/>
  <c r="V107" i="3" s="1"/>
  <c r="T91" i="3"/>
  <c r="X91" i="3" s="1"/>
  <c r="S58" i="3"/>
  <c r="W58" i="3" s="1"/>
  <c r="Y100" i="3"/>
  <c r="R100" i="3"/>
  <c r="V100" i="3" s="1"/>
  <c r="S45" i="3"/>
  <c r="W45" i="3" s="1"/>
  <c r="T64" i="3"/>
  <c r="X64" i="3" s="1"/>
  <c r="R79" i="3"/>
  <c r="V79" i="3" s="1"/>
  <c r="R45" i="3"/>
  <c r="V45" i="3" s="1"/>
  <c r="Y13" i="3"/>
  <c r="R13" i="3"/>
  <c r="V13" i="3" s="1"/>
  <c r="R16" i="3"/>
  <c r="V16" i="3" s="1"/>
  <c r="T12" i="3"/>
  <c r="X12" i="3" s="1"/>
  <c r="T17" i="3"/>
  <c r="X17" i="3" s="1"/>
  <c r="S4" i="3"/>
  <c r="W4" i="3" s="1"/>
  <c r="Y84" i="3"/>
  <c r="R84" i="3"/>
  <c r="V84" i="3" s="1"/>
  <c r="S97" i="3"/>
  <c r="W97" i="3" s="1"/>
  <c r="Y77" i="3"/>
  <c r="R77" i="3"/>
  <c r="V77" i="3" s="1"/>
  <c r="S77" i="3"/>
  <c r="W77" i="3" s="1"/>
  <c r="T90" i="3"/>
  <c r="X90" i="3" s="1"/>
  <c r="Y53" i="3"/>
  <c r="T53" i="3"/>
  <c r="X53" i="3" s="1"/>
  <c r="S46" i="3"/>
  <c r="W46" i="3" s="1"/>
  <c r="S109" i="3"/>
  <c r="W109" i="3" s="1"/>
  <c r="R67" i="3"/>
  <c r="V67" i="3" s="1"/>
  <c r="Y67" i="3"/>
  <c r="Y36" i="3"/>
  <c r="T36" i="3"/>
  <c r="X36" i="3" s="1"/>
  <c r="T69" i="3"/>
  <c r="X69" i="3" s="1"/>
  <c r="T41" i="3"/>
  <c r="X41" i="3" s="1"/>
  <c r="R96" i="3"/>
  <c r="V96" i="3" s="1"/>
  <c r="Y96" i="3"/>
  <c r="T58" i="3"/>
  <c r="X58" i="3" s="1"/>
  <c r="S84" i="3"/>
  <c r="W84" i="3" s="1"/>
  <c r="S61" i="3"/>
  <c r="W61" i="3" s="1"/>
  <c r="S71" i="3"/>
  <c r="W71" i="3" s="1"/>
  <c r="R18" i="3"/>
  <c r="V18" i="3" s="1"/>
  <c r="Y18" i="3"/>
  <c r="S28" i="3"/>
  <c r="W28" i="3" s="1"/>
  <c r="Y6" i="3"/>
  <c r="S6" i="3"/>
  <c r="W6" i="3" s="1"/>
  <c r="Y86" i="3"/>
  <c r="T86" i="3"/>
  <c r="X86" i="3" s="1"/>
  <c r="R86" i="3"/>
  <c r="V86" i="3" s="1"/>
  <c r="R92" i="3"/>
  <c r="V92" i="3" s="1"/>
  <c r="Y92" i="3"/>
  <c r="R101" i="3"/>
  <c r="V101" i="3" s="1"/>
  <c r="T84" i="3"/>
  <c r="X84" i="3" s="1"/>
  <c r="S95" i="3"/>
  <c r="W95" i="3" s="1"/>
  <c r="T107" i="3"/>
  <c r="X107" i="3" s="1"/>
  <c r="Y85" i="3"/>
  <c r="S85" i="3"/>
  <c r="W85" i="3" s="1"/>
  <c r="S40" i="3"/>
  <c r="W40" i="3" s="1"/>
  <c r="Y59" i="3"/>
  <c r="R59" i="3"/>
  <c r="V59" i="3" s="1"/>
  <c r="S49" i="3"/>
  <c r="W49" i="3" s="1"/>
  <c r="Y64" i="3"/>
  <c r="S64" i="3"/>
  <c r="W64" i="3" s="1"/>
  <c r="Y43" i="3"/>
  <c r="T43" i="3"/>
  <c r="X43" i="3" s="1"/>
  <c r="S43" i="3"/>
  <c r="W43" i="3" s="1"/>
  <c r="S96" i="3"/>
  <c r="W96" i="3" s="1"/>
  <c r="R54" i="3"/>
  <c r="V54" i="3" s="1"/>
  <c r="Y56" i="3"/>
  <c r="R56" i="3"/>
  <c r="V56" i="3" s="1"/>
  <c r="R36" i="3"/>
  <c r="V36" i="3" s="1"/>
  <c r="T54" i="3"/>
  <c r="X54" i="3" s="1"/>
  <c r="T40" i="3"/>
  <c r="X40" i="3" s="1"/>
  <c r="R70" i="3"/>
  <c r="V70" i="3" s="1"/>
  <c r="T74" i="3"/>
  <c r="X74" i="3" s="1"/>
  <c r="S41" i="3"/>
  <c r="W41" i="3" s="1"/>
  <c r="S32" i="3"/>
  <c r="W32" i="3" s="1"/>
  <c r="Y15" i="3"/>
  <c r="T15" i="3"/>
  <c r="X15" i="3" s="1"/>
  <c r="S8" i="3"/>
  <c r="W8" i="3" s="1"/>
  <c r="R8" i="3"/>
  <c r="V8" i="3" s="1"/>
  <c r="Y14" i="3"/>
  <c r="S14" i="3"/>
  <c r="W14" i="3" s="1"/>
  <c r="S90" i="3"/>
  <c r="W90" i="3" s="1"/>
  <c r="T97" i="3"/>
  <c r="X97" i="3" s="1"/>
  <c r="Y102" i="3"/>
  <c r="T102" i="3"/>
  <c r="X102" i="3" s="1"/>
  <c r="T93" i="3"/>
  <c r="X93" i="3" s="1"/>
  <c r="T89" i="3"/>
  <c r="X89" i="3" s="1"/>
  <c r="T83" i="3"/>
  <c r="X83" i="3" s="1"/>
  <c r="Y94" i="3"/>
  <c r="S94" i="3"/>
  <c r="W94" i="3" s="1"/>
  <c r="T94" i="3"/>
  <c r="X94" i="3" s="1"/>
  <c r="T106" i="3"/>
  <c r="X106" i="3" s="1"/>
  <c r="R83" i="3"/>
  <c r="V83" i="3" s="1"/>
  <c r="S67" i="3"/>
  <c r="W67" i="3" s="1"/>
  <c r="S51" i="3"/>
  <c r="W51" i="3" s="1"/>
  <c r="S36" i="3"/>
  <c r="W36" i="3" s="1"/>
  <c r="R57" i="3"/>
  <c r="V57" i="3" s="1"/>
  <c r="R27" i="3"/>
  <c r="V27" i="3" s="1"/>
  <c r="R63" i="3"/>
  <c r="V63" i="3" s="1"/>
  <c r="Y63" i="3"/>
  <c r="Y33" i="3"/>
  <c r="R33" i="3"/>
  <c r="V33" i="3" s="1"/>
  <c r="S86" i="3"/>
  <c r="W86" i="3" s="1"/>
  <c r="R49" i="3"/>
  <c r="V49" i="3" s="1"/>
  <c r="Y34" i="3"/>
  <c r="R34" i="3"/>
  <c r="V34" i="3" s="1"/>
  <c r="S54" i="3"/>
  <c r="W54" i="3" s="1"/>
  <c r="T101" i="3"/>
  <c r="X101" i="3" s="1"/>
  <c r="T49" i="3"/>
  <c r="X49" i="3" s="1"/>
  <c r="S39" i="3"/>
  <c r="W39" i="3" s="1"/>
  <c r="R65" i="3"/>
  <c r="V65" i="3" s="1"/>
  <c r="T65" i="3"/>
  <c r="X65" i="3" s="1"/>
  <c r="S74" i="3"/>
  <c r="W74" i="3" s="1"/>
  <c r="R28" i="3"/>
  <c r="V28" i="3" s="1"/>
  <c r="R15" i="3"/>
  <c r="V15" i="3" s="1"/>
  <c r="T9" i="3"/>
  <c r="X9" i="3" s="1"/>
  <c r="T8" i="3"/>
  <c r="X8" i="3" s="1"/>
  <c r="T25" i="3"/>
  <c r="X25" i="3" s="1"/>
  <c r="S3" i="3"/>
  <c r="W3" i="3" s="1"/>
  <c r="T6" i="3"/>
  <c r="X6" i="3" s="1"/>
  <c r="R9" i="3"/>
  <c r="V9" i="3" s="1"/>
  <c r="S12" i="3"/>
  <c r="W12" i="3" s="1"/>
  <c r="T75" i="2"/>
  <c r="X75" i="2" s="1"/>
  <c r="R103" i="2"/>
  <c r="V103" i="2" s="1"/>
  <c r="T72" i="2"/>
  <c r="X72" i="2" s="1"/>
  <c r="R54" i="2"/>
  <c r="V54" i="2" s="1"/>
  <c r="R92" i="2"/>
  <c r="V92" i="2" s="1"/>
  <c r="R93" i="2"/>
  <c r="V93" i="2" s="1"/>
  <c r="Y32" i="2"/>
  <c r="S76" i="2"/>
  <c r="W76" i="2" s="1"/>
  <c r="S97" i="2"/>
  <c r="W97" i="2" s="1"/>
  <c r="S75" i="2"/>
  <c r="W75" i="2" s="1"/>
  <c r="R32" i="2"/>
  <c r="V32" i="2" s="1"/>
  <c r="S79" i="2"/>
  <c r="W79" i="2" s="1"/>
  <c r="R60" i="2"/>
  <c r="V60" i="2" s="1"/>
  <c r="T93" i="2"/>
  <c r="X93" i="2" s="1"/>
  <c r="S4" i="2"/>
  <c r="W4" i="2" s="1"/>
  <c r="S101" i="2"/>
  <c r="W101" i="2" s="1"/>
  <c r="T103" i="2"/>
  <c r="X103" i="2" s="1"/>
  <c r="T60" i="2"/>
  <c r="X60" i="2" s="1"/>
  <c r="R69" i="2"/>
  <c r="V69" i="2" s="1"/>
  <c r="R85" i="2"/>
  <c r="V85" i="2" s="1"/>
  <c r="S92" i="2"/>
  <c r="W92" i="2" s="1"/>
  <c r="T86" i="2"/>
  <c r="X86" i="2" s="1"/>
  <c r="T76" i="2"/>
  <c r="X76" i="2" s="1"/>
  <c r="T32" i="2"/>
  <c r="X32" i="2" s="1"/>
  <c r="Y88" i="2"/>
  <c r="R17" i="2"/>
  <c r="V17" i="2" s="1"/>
  <c r="S55" i="2"/>
  <c r="W55" i="2" s="1"/>
  <c r="S44" i="2"/>
  <c r="W44" i="2" s="1"/>
  <c r="Y44" i="2"/>
  <c r="T84" i="2"/>
  <c r="X84" i="2" s="1"/>
  <c r="T88" i="2"/>
  <c r="X88" i="2" s="1"/>
  <c r="S88" i="2"/>
  <c r="W88" i="2" s="1"/>
  <c r="Y79" i="2"/>
  <c r="R83" i="2"/>
  <c r="V83" i="2" s="1"/>
  <c r="S61" i="2"/>
  <c r="W61" i="2" s="1"/>
  <c r="T101" i="2"/>
  <c r="X101" i="2" s="1"/>
  <c r="T108" i="2"/>
  <c r="X108" i="2" s="1"/>
  <c r="S108" i="2"/>
  <c r="W108" i="2" s="1"/>
  <c r="R79" i="2"/>
  <c r="V79" i="2" s="1"/>
  <c r="R75" i="2"/>
  <c r="V75" i="2" s="1"/>
  <c r="S68" i="2"/>
  <c r="W68" i="2" s="1"/>
  <c r="R44" i="2"/>
  <c r="V44" i="2" s="1"/>
  <c r="T97" i="2"/>
  <c r="X97" i="2" s="1"/>
  <c r="R81" i="2"/>
  <c r="V81" i="2" s="1"/>
  <c r="T98" i="2"/>
  <c r="X98" i="2" s="1"/>
  <c r="S57" i="2"/>
  <c r="W57" i="2" s="1"/>
  <c r="R97" i="2"/>
  <c r="V97" i="2" s="1"/>
  <c r="T45" i="2"/>
  <c r="X45" i="2" s="1"/>
  <c r="Y45" i="2"/>
  <c r="S45" i="2"/>
  <c r="W45" i="2" s="1"/>
  <c r="R45" i="2"/>
  <c r="V45" i="2" s="1"/>
  <c r="T34" i="2"/>
  <c r="X34" i="2" s="1"/>
  <c r="Y34" i="2"/>
  <c r="S41" i="2"/>
  <c r="W41" i="2" s="1"/>
  <c r="Y41" i="2"/>
  <c r="S72" i="2"/>
  <c r="W72" i="2" s="1"/>
  <c r="Y72" i="2"/>
  <c r="S69" i="2"/>
  <c r="W69" i="2" s="1"/>
  <c r="R78" i="2"/>
  <c r="V78" i="2" s="1"/>
  <c r="R35" i="2"/>
  <c r="V35" i="2" s="1"/>
  <c r="Y35" i="2"/>
  <c r="Y22" i="2"/>
  <c r="S22" i="2"/>
  <c r="W22" i="2" s="1"/>
  <c r="S28" i="2"/>
  <c r="W28" i="2" s="1"/>
  <c r="Y28" i="2"/>
  <c r="S17" i="2"/>
  <c r="W17" i="2" s="1"/>
  <c r="Y17" i="2"/>
  <c r="R100" i="2"/>
  <c r="V100" i="2" s="1"/>
  <c r="S89" i="2"/>
  <c r="W89" i="2" s="1"/>
  <c r="Y89" i="2"/>
  <c r="T53" i="2"/>
  <c r="X53" i="2" s="1"/>
  <c r="T78" i="2"/>
  <c r="X78" i="2" s="1"/>
  <c r="T61" i="2"/>
  <c r="X61" i="2" s="1"/>
  <c r="S78" i="2"/>
  <c r="W78" i="2" s="1"/>
  <c r="R108" i="2"/>
  <c r="V108" i="2" s="1"/>
  <c r="T70" i="2"/>
  <c r="X70" i="2" s="1"/>
  <c r="R106" i="2"/>
  <c r="V106" i="2" s="1"/>
  <c r="R94" i="2"/>
  <c r="V94" i="2" s="1"/>
  <c r="R43" i="2"/>
  <c r="V43" i="2" s="1"/>
  <c r="Y43" i="2"/>
  <c r="Y30" i="2"/>
  <c r="T30" i="2"/>
  <c r="X30" i="2" s="1"/>
  <c r="S30" i="2"/>
  <c r="W30" i="2" s="1"/>
  <c r="S66" i="2"/>
  <c r="W66" i="2" s="1"/>
  <c r="Y46" i="2"/>
  <c r="S46" i="2"/>
  <c r="W46" i="2" s="1"/>
  <c r="T46" i="2"/>
  <c r="X46" i="2" s="1"/>
  <c r="S59" i="2"/>
  <c r="W59" i="2" s="1"/>
  <c r="R12" i="2"/>
  <c r="V12" i="2" s="1"/>
  <c r="Y12" i="2"/>
  <c r="T26" i="2"/>
  <c r="X26" i="2" s="1"/>
  <c r="Y26" i="2"/>
  <c r="S33" i="2"/>
  <c r="W33" i="2" s="1"/>
  <c r="Y33" i="2"/>
  <c r="S64" i="2"/>
  <c r="W64" i="2" s="1"/>
  <c r="Y64" i="2"/>
  <c r="S52" i="2"/>
  <c r="W52" i="2" s="1"/>
  <c r="S85" i="2"/>
  <c r="W85" i="2" s="1"/>
  <c r="T73" i="2"/>
  <c r="X73" i="2" s="1"/>
  <c r="Y73" i="2"/>
  <c r="T54" i="2"/>
  <c r="X54" i="2" s="1"/>
  <c r="R40" i="2"/>
  <c r="V40" i="2" s="1"/>
  <c r="Y40" i="2"/>
  <c r="Y15" i="2"/>
  <c r="T15" i="2"/>
  <c r="X15" i="2" s="1"/>
  <c r="S27" i="2"/>
  <c r="W27" i="2" s="1"/>
  <c r="S6" i="2"/>
  <c r="W6" i="2" s="1"/>
  <c r="Y6" i="2"/>
  <c r="R102" i="2"/>
  <c r="V102" i="2" s="1"/>
  <c r="S56" i="2"/>
  <c r="W56" i="2" s="1"/>
  <c r="Y56" i="2"/>
  <c r="S9" i="2"/>
  <c r="W9" i="2" s="1"/>
  <c r="Y9" i="2"/>
  <c r="T9" i="2"/>
  <c r="X9" i="2" s="1"/>
  <c r="T41" i="2"/>
  <c r="X41" i="2" s="1"/>
  <c r="S15" i="2"/>
  <c r="W15" i="2" s="1"/>
  <c r="S25" i="2"/>
  <c r="W25" i="2" s="1"/>
  <c r="Y25" i="2"/>
  <c r="S20" i="2"/>
  <c r="W20" i="2" s="1"/>
  <c r="Y20" i="2"/>
  <c r="R20" i="2"/>
  <c r="V20" i="2" s="1"/>
  <c r="S98" i="2"/>
  <c r="W98" i="2" s="1"/>
  <c r="S54" i="2"/>
  <c r="W54" i="2" s="1"/>
  <c r="R98" i="2"/>
  <c r="V98" i="2" s="1"/>
  <c r="R76" i="2"/>
  <c r="V76" i="2" s="1"/>
  <c r="R64" i="2"/>
  <c r="V64" i="2" s="1"/>
  <c r="R109" i="2"/>
  <c r="V109" i="2" s="1"/>
  <c r="R95" i="2"/>
  <c r="V95" i="2" s="1"/>
  <c r="T106" i="2"/>
  <c r="X106" i="2" s="1"/>
  <c r="T68" i="2"/>
  <c r="X68" i="2" s="1"/>
  <c r="S106" i="2"/>
  <c r="W106" i="2" s="1"/>
  <c r="R66" i="2"/>
  <c r="V66" i="2" s="1"/>
  <c r="S83" i="2"/>
  <c r="W83" i="2" s="1"/>
  <c r="S53" i="2"/>
  <c r="W53" i="2" s="1"/>
  <c r="S34" i="2"/>
  <c r="W34" i="2" s="1"/>
  <c r="R27" i="2"/>
  <c r="V27" i="2" s="1"/>
  <c r="Y4" i="2"/>
  <c r="R4" i="2"/>
  <c r="V4" i="2" s="1"/>
  <c r="S93" i="2"/>
  <c r="W93" i="2" s="1"/>
  <c r="R56" i="2"/>
  <c r="V56" i="2" s="1"/>
  <c r="R9" i="2"/>
  <c r="V9" i="2" s="1"/>
  <c r="S40" i="2"/>
  <c r="W40" i="2" s="1"/>
  <c r="R15" i="2"/>
  <c r="V15" i="2" s="1"/>
  <c r="T18" i="2"/>
  <c r="X18" i="2" s="1"/>
  <c r="Y18" i="2"/>
  <c r="T43" i="2"/>
  <c r="X43" i="2" s="1"/>
  <c r="R25" i="2"/>
  <c r="V25" i="2" s="1"/>
  <c r="R11" i="2"/>
  <c r="V11" i="2" s="1"/>
  <c r="R77" i="2"/>
  <c r="V77" i="2" s="1"/>
  <c r="Y14" i="2"/>
  <c r="T14" i="2"/>
  <c r="X14" i="2" s="1"/>
  <c r="S14" i="2"/>
  <c r="W14" i="2" s="1"/>
  <c r="T85" i="2"/>
  <c r="X85" i="2" s="1"/>
  <c r="S70" i="2"/>
  <c r="W70" i="2" s="1"/>
  <c r="R52" i="2"/>
  <c r="V52" i="2" s="1"/>
  <c r="R48" i="2"/>
  <c r="V48" i="2" s="1"/>
  <c r="Y48" i="2"/>
  <c r="Y38" i="2"/>
  <c r="T38" i="2"/>
  <c r="X38" i="2" s="1"/>
  <c r="S38" i="2"/>
  <c r="W38" i="2" s="1"/>
  <c r="T89" i="2"/>
  <c r="X89" i="2" s="1"/>
  <c r="T21" i="2"/>
  <c r="X21" i="2" s="1"/>
  <c r="Y21" i="2"/>
  <c r="R21" i="2"/>
  <c r="V21" i="2" s="1"/>
  <c r="T22" i="2"/>
  <c r="X22" i="2" s="1"/>
  <c r="S81" i="2"/>
  <c r="W81" i="2" s="1"/>
  <c r="Y81" i="2"/>
  <c r="T57" i="2"/>
  <c r="X57" i="2" s="1"/>
  <c r="Y57" i="2"/>
  <c r="T95" i="2"/>
  <c r="X95" i="2" s="1"/>
  <c r="T74" i="2"/>
  <c r="X74" i="2" s="1"/>
  <c r="Y74" i="2"/>
  <c r="T109" i="2"/>
  <c r="X109" i="2" s="1"/>
  <c r="T94" i="2"/>
  <c r="X94" i="2" s="1"/>
  <c r="T102" i="2"/>
  <c r="X102" i="2" s="1"/>
  <c r="T83" i="2"/>
  <c r="X83" i="2" s="1"/>
  <c r="S102" i="2"/>
  <c r="W102" i="2" s="1"/>
  <c r="T69" i="2"/>
  <c r="X69" i="2" s="1"/>
  <c r="S36" i="2"/>
  <c r="W36" i="2" s="1"/>
  <c r="R36" i="2"/>
  <c r="V36" i="2" s="1"/>
  <c r="Y36" i="2"/>
  <c r="T20" i="2"/>
  <c r="X20" i="2" s="1"/>
  <c r="S19" i="2"/>
  <c r="W19" i="2" s="1"/>
  <c r="T10" i="2"/>
  <c r="X10" i="2" s="1"/>
  <c r="Y10" i="2"/>
  <c r="T37" i="2"/>
  <c r="X37" i="2" s="1"/>
  <c r="Y37" i="2"/>
  <c r="R37" i="2"/>
  <c r="V37" i="2" s="1"/>
  <c r="S49" i="2"/>
  <c r="W49" i="2" s="1"/>
  <c r="S3" i="2"/>
  <c r="W3" i="2" s="1"/>
  <c r="T52" i="2"/>
  <c r="X52" i="2" s="1"/>
  <c r="S95" i="2"/>
  <c r="W95" i="2" s="1"/>
  <c r="S74" i="2"/>
  <c r="W74" i="2" s="1"/>
  <c r="S86" i="2"/>
  <c r="W86" i="2" s="1"/>
  <c r="T92" i="2"/>
  <c r="X92" i="2" s="1"/>
  <c r="R70" i="2"/>
  <c r="V70" i="2" s="1"/>
  <c r="S109" i="2"/>
  <c r="W109" i="2" s="1"/>
  <c r="S94" i="2"/>
  <c r="W94" i="2" s="1"/>
  <c r="S58" i="2"/>
  <c r="W58" i="2" s="1"/>
  <c r="S90" i="2"/>
  <c r="W90" i="2" s="1"/>
  <c r="S99" i="2"/>
  <c r="W99" i="2" s="1"/>
  <c r="S84" i="2"/>
  <c r="W84" i="2" s="1"/>
  <c r="T65" i="2"/>
  <c r="X65" i="2" s="1"/>
  <c r="Y65" i="2"/>
  <c r="R99" i="2"/>
  <c r="V99" i="2" s="1"/>
  <c r="R84" i="2"/>
  <c r="V84" i="2" s="1"/>
  <c r="R62" i="2"/>
  <c r="V62" i="2" s="1"/>
  <c r="T100" i="2"/>
  <c r="X100" i="2" s="1"/>
  <c r="S100" i="2"/>
  <c r="W100" i="2" s="1"/>
  <c r="R34" i="2"/>
  <c r="V34" i="2" s="1"/>
  <c r="T42" i="2"/>
  <c r="X42" i="2" s="1"/>
  <c r="Y42" i="2"/>
  <c r="T33" i="2"/>
  <c r="X33" i="2" s="1"/>
  <c r="T12" i="2"/>
  <c r="X12" i="2" s="1"/>
  <c r="T82" i="2"/>
  <c r="X82" i="2" s="1"/>
  <c r="Y82" i="2"/>
  <c r="T27" i="2"/>
  <c r="X27" i="2" s="1"/>
  <c r="T48" i="2"/>
  <c r="X48" i="2" s="1"/>
  <c r="S91" i="2"/>
  <c r="W91" i="2" s="1"/>
  <c r="T49" i="2"/>
  <c r="X49" i="2" s="1"/>
  <c r="S18" i="2"/>
  <c r="W18" i="2" s="1"/>
  <c r="R10" i="2"/>
  <c r="V10" i="2" s="1"/>
  <c r="S35" i="2"/>
  <c r="W35" i="2" s="1"/>
  <c r="R22" i="2"/>
  <c r="V22" i="2" s="1"/>
  <c r="T28" i="2"/>
  <c r="X28" i="2" s="1"/>
  <c r="T3" i="2"/>
  <c r="X3" i="2" s="1"/>
  <c r="T6" i="2"/>
  <c r="X6" i="2" s="1"/>
  <c r="N109" i="1"/>
  <c r="M109" i="1"/>
  <c r="L109" i="1"/>
  <c r="N108" i="1"/>
  <c r="M108" i="1"/>
  <c r="L108" i="1"/>
  <c r="N107" i="1"/>
  <c r="M107" i="1"/>
  <c r="L107" i="1"/>
  <c r="N106" i="1"/>
  <c r="M106" i="1"/>
  <c r="L106" i="1"/>
  <c r="N105" i="1"/>
  <c r="M105" i="1"/>
  <c r="L105" i="1"/>
  <c r="N104" i="1"/>
  <c r="M104" i="1"/>
  <c r="L104" i="1"/>
  <c r="N103" i="1"/>
  <c r="M103" i="1"/>
  <c r="L103" i="1"/>
  <c r="N102" i="1"/>
  <c r="M102" i="1"/>
  <c r="L102" i="1"/>
  <c r="N101" i="1"/>
  <c r="M101" i="1"/>
  <c r="L101" i="1"/>
  <c r="N100" i="1"/>
  <c r="M100" i="1"/>
  <c r="L100" i="1"/>
  <c r="N99" i="1"/>
  <c r="M99" i="1"/>
  <c r="L99" i="1"/>
  <c r="N98" i="1"/>
  <c r="M98" i="1"/>
  <c r="L98" i="1"/>
  <c r="N97" i="1"/>
  <c r="M97" i="1"/>
  <c r="L97" i="1"/>
  <c r="N96" i="1"/>
  <c r="M96" i="1"/>
  <c r="L96" i="1"/>
  <c r="N95" i="1"/>
  <c r="M95" i="1"/>
  <c r="L95" i="1"/>
  <c r="N94" i="1"/>
  <c r="M94" i="1"/>
  <c r="L94" i="1"/>
  <c r="N93" i="1"/>
  <c r="M93" i="1"/>
  <c r="L93" i="1"/>
  <c r="N92" i="1"/>
  <c r="M92" i="1"/>
  <c r="L92" i="1"/>
  <c r="N91" i="1"/>
  <c r="M91" i="1"/>
  <c r="L91" i="1"/>
  <c r="N90" i="1"/>
  <c r="M90" i="1"/>
  <c r="L90" i="1"/>
  <c r="N89" i="1"/>
  <c r="M89" i="1"/>
  <c r="L89" i="1"/>
  <c r="N88" i="1"/>
  <c r="M88" i="1"/>
  <c r="L88" i="1"/>
  <c r="N87" i="1"/>
  <c r="M87" i="1"/>
  <c r="L87" i="1"/>
  <c r="N86" i="1"/>
  <c r="M86" i="1"/>
  <c r="L86" i="1"/>
  <c r="N85" i="1"/>
  <c r="M85" i="1"/>
  <c r="L85" i="1"/>
  <c r="N84" i="1"/>
  <c r="M84" i="1"/>
  <c r="L84" i="1"/>
  <c r="N83" i="1"/>
  <c r="M83" i="1"/>
  <c r="L83" i="1"/>
  <c r="N82" i="1"/>
  <c r="M82" i="1"/>
  <c r="L82" i="1"/>
  <c r="N81" i="1"/>
  <c r="M81" i="1"/>
  <c r="L81" i="1"/>
  <c r="N80" i="1"/>
  <c r="M80" i="1"/>
  <c r="L80" i="1"/>
  <c r="N79" i="1"/>
  <c r="M79" i="1"/>
  <c r="L79" i="1"/>
  <c r="N78" i="1"/>
  <c r="M78" i="1"/>
  <c r="L78" i="1"/>
  <c r="N77" i="1"/>
  <c r="M77" i="1"/>
  <c r="L77" i="1"/>
  <c r="N76" i="1"/>
  <c r="M76" i="1"/>
  <c r="L76" i="1"/>
  <c r="N75" i="1"/>
  <c r="M75" i="1"/>
  <c r="L75" i="1"/>
  <c r="N74" i="1"/>
  <c r="M74" i="1"/>
  <c r="L74" i="1"/>
  <c r="N73" i="1"/>
  <c r="M73" i="1"/>
  <c r="L73" i="1"/>
  <c r="N72" i="1"/>
  <c r="M72" i="1"/>
  <c r="L72" i="1"/>
  <c r="N71" i="1"/>
  <c r="M71" i="1"/>
  <c r="L71" i="1"/>
  <c r="N70" i="1"/>
  <c r="M70" i="1"/>
  <c r="L70" i="1"/>
  <c r="N69" i="1"/>
  <c r="M69" i="1"/>
  <c r="L69" i="1"/>
  <c r="N68" i="1"/>
  <c r="M68" i="1"/>
  <c r="L68" i="1"/>
  <c r="N67" i="1"/>
  <c r="M67" i="1"/>
  <c r="L67" i="1"/>
  <c r="N66" i="1"/>
  <c r="M66" i="1"/>
  <c r="L66" i="1"/>
  <c r="N65" i="1"/>
  <c r="M65" i="1"/>
  <c r="L65" i="1"/>
  <c r="N64" i="1"/>
  <c r="M64" i="1"/>
  <c r="L64" i="1"/>
  <c r="N63" i="1"/>
  <c r="M63" i="1"/>
  <c r="L63" i="1"/>
  <c r="N62" i="1"/>
  <c r="M62" i="1"/>
  <c r="L62" i="1"/>
  <c r="N61" i="1"/>
  <c r="M61" i="1"/>
  <c r="L61" i="1"/>
  <c r="N60" i="1"/>
  <c r="M60" i="1"/>
  <c r="L60" i="1"/>
  <c r="N59" i="1"/>
  <c r="M59" i="1"/>
  <c r="L59" i="1"/>
  <c r="N58" i="1"/>
  <c r="M58" i="1"/>
  <c r="L58" i="1"/>
  <c r="N57" i="1"/>
  <c r="M57" i="1"/>
  <c r="L57" i="1"/>
  <c r="N56" i="1"/>
  <c r="M56" i="1"/>
  <c r="L56" i="1"/>
  <c r="N55" i="1"/>
  <c r="M55" i="1"/>
  <c r="L55" i="1"/>
  <c r="N54" i="1"/>
  <c r="M54" i="1"/>
  <c r="L54" i="1"/>
  <c r="N53" i="1"/>
  <c r="M53" i="1"/>
  <c r="L53" i="1"/>
  <c r="N52" i="1"/>
  <c r="M52" i="1"/>
  <c r="L52" i="1"/>
  <c r="N51" i="1"/>
  <c r="M51" i="1"/>
  <c r="L51" i="1"/>
  <c r="N50" i="1"/>
  <c r="M50" i="1"/>
  <c r="L50" i="1"/>
  <c r="N49" i="1"/>
  <c r="M49" i="1"/>
  <c r="L49" i="1"/>
  <c r="N48" i="1"/>
  <c r="M48" i="1"/>
  <c r="L48" i="1"/>
  <c r="N47" i="1"/>
  <c r="M47" i="1"/>
  <c r="L47" i="1"/>
  <c r="N46" i="1"/>
  <c r="M46" i="1"/>
  <c r="L46" i="1"/>
  <c r="N45" i="1"/>
  <c r="M45" i="1"/>
  <c r="L45" i="1"/>
  <c r="N44" i="1"/>
  <c r="M44" i="1"/>
  <c r="L44" i="1"/>
  <c r="N43" i="1"/>
  <c r="M43" i="1"/>
  <c r="L43" i="1"/>
  <c r="N42" i="1"/>
  <c r="M42" i="1"/>
  <c r="L42" i="1"/>
  <c r="N41" i="1"/>
  <c r="M41" i="1"/>
  <c r="L41" i="1"/>
  <c r="N40" i="1"/>
  <c r="M40" i="1"/>
  <c r="L40" i="1"/>
  <c r="N39" i="1"/>
  <c r="M39" i="1"/>
  <c r="L39" i="1"/>
  <c r="N38" i="1"/>
  <c r="M38" i="1"/>
  <c r="L38" i="1"/>
  <c r="N37" i="1"/>
  <c r="M37" i="1"/>
  <c r="L37" i="1"/>
  <c r="N36" i="1"/>
  <c r="M36" i="1"/>
  <c r="L36" i="1"/>
  <c r="N35" i="1"/>
  <c r="M35" i="1"/>
  <c r="L35" i="1"/>
  <c r="N34" i="1"/>
  <c r="M34" i="1"/>
  <c r="L34" i="1"/>
  <c r="N33" i="1"/>
  <c r="M33" i="1"/>
  <c r="L33" i="1"/>
  <c r="N32" i="1"/>
  <c r="M32" i="1"/>
  <c r="L32" i="1"/>
  <c r="N31" i="1"/>
  <c r="M31" i="1"/>
  <c r="L31" i="1"/>
  <c r="N30" i="1"/>
  <c r="M30" i="1"/>
  <c r="L30" i="1"/>
  <c r="N29" i="1"/>
  <c r="M29" i="1"/>
  <c r="L29" i="1"/>
  <c r="N28" i="1"/>
  <c r="M28" i="1"/>
  <c r="L28" i="1"/>
  <c r="N27" i="1"/>
  <c r="M27" i="1"/>
  <c r="L27" i="1"/>
  <c r="N26" i="1"/>
  <c r="M26" i="1"/>
  <c r="L26" i="1"/>
  <c r="N25" i="1"/>
  <c r="M25" i="1"/>
  <c r="L25" i="1"/>
  <c r="N24" i="1"/>
  <c r="M24" i="1"/>
  <c r="L24" i="1"/>
  <c r="N23" i="1"/>
  <c r="M23" i="1"/>
  <c r="L23" i="1"/>
  <c r="N22" i="1"/>
  <c r="M22" i="1"/>
  <c r="L22" i="1"/>
  <c r="N21" i="1"/>
  <c r="M21" i="1"/>
  <c r="L21" i="1"/>
  <c r="N20" i="1"/>
  <c r="M20" i="1"/>
  <c r="L20" i="1"/>
  <c r="N19" i="1"/>
  <c r="M19" i="1"/>
  <c r="L19" i="1"/>
  <c r="N18" i="1"/>
  <c r="M18" i="1"/>
  <c r="L18" i="1"/>
  <c r="N17" i="1"/>
  <c r="M17" i="1"/>
  <c r="L17" i="1"/>
  <c r="N16" i="1"/>
  <c r="M16" i="1"/>
  <c r="L16" i="1"/>
  <c r="N15" i="1"/>
  <c r="M15" i="1"/>
  <c r="L15" i="1"/>
  <c r="N14" i="1"/>
  <c r="M14" i="1"/>
  <c r="L14" i="1"/>
  <c r="N13" i="1"/>
  <c r="M13" i="1"/>
  <c r="L13" i="1"/>
  <c r="N12" i="1"/>
  <c r="M12" i="1"/>
  <c r="L12" i="1"/>
  <c r="N11" i="1"/>
  <c r="M11" i="1"/>
  <c r="L11" i="1"/>
  <c r="N10" i="1"/>
  <c r="M10" i="1"/>
  <c r="L10" i="1"/>
  <c r="N9" i="1"/>
  <c r="M9" i="1"/>
  <c r="L9" i="1"/>
  <c r="N8" i="1"/>
  <c r="M8" i="1"/>
  <c r="L8" i="1"/>
  <c r="N7" i="1"/>
  <c r="M7" i="1"/>
  <c r="L7" i="1"/>
  <c r="N6" i="1"/>
  <c r="M6" i="1"/>
  <c r="L6" i="1"/>
  <c r="N5" i="1"/>
  <c r="M5" i="1"/>
  <c r="L5" i="1"/>
  <c r="N4" i="1"/>
  <c r="M4" i="1"/>
  <c r="L4" i="1"/>
  <c r="N3" i="1"/>
  <c r="M3" i="1"/>
  <c r="L3" i="1"/>
  <c r="U1" i="3" l="1"/>
  <c r="T1" i="3"/>
  <c r="S1" i="3"/>
  <c r="R1" i="3"/>
  <c r="O1" i="3" s="1"/>
  <c r="L1" i="3" s="1"/>
  <c r="R1" i="2"/>
  <c r="U1" i="2"/>
  <c r="S1" i="2"/>
  <c r="P1" i="2" s="1"/>
  <c r="M1" i="2" s="1"/>
  <c r="T1" i="2"/>
  <c r="Q1" i="2" s="1"/>
  <c r="N1" i="2" s="1"/>
  <c r="Q36" i="1"/>
  <c r="P36" i="1"/>
  <c r="O36" i="1"/>
  <c r="P1" i="3" l="1"/>
  <c r="M1" i="3" s="1"/>
  <c r="K1" i="3" s="1"/>
  <c r="Q1" i="3"/>
  <c r="N1" i="3" s="1"/>
  <c r="O1" i="2"/>
  <c r="L1" i="2" s="1"/>
  <c r="K1" i="2" s="1"/>
  <c r="U36" i="1"/>
  <c r="Y36" i="1" s="1"/>
  <c r="O109" i="1"/>
  <c r="P109" i="1"/>
  <c r="Q109" i="1"/>
  <c r="O108" i="1"/>
  <c r="P108" i="1"/>
  <c r="Q108" i="1"/>
  <c r="O107" i="1"/>
  <c r="P107" i="1"/>
  <c r="Q107" i="1"/>
  <c r="O106" i="1"/>
  <c r="P106" i="1"/>
  <c r="Q106" i="1"/>
  <c r="O105" i="1"/>
  <c r="P105" i="1"/>
  <c r="Q105" i="1"/>
  <c r="O104" i="1"/>
  <c r="P104" i="1"/>
  <c r="Q104" i="1"/>
  <c r="O103" i="1"/>
  <c r="P103" i="1"/>
  <c r="Q103" i="1"/>
  <c r="O102" i="1"/>
  <c r="P102" i="1"/>
  <c r="Q102" i="1"/>
  <c r="O101" i="1"/>
  <c r="P101" i="1"/>
  <c r="Q101" i="1"/>
  <c r="O100" i="1"/>
  <c r="P100" i="1"/>
  <c r="Q100" i="1"/>
  <c r="O99" i="1"/>
  <c r="P99" i="1"/>
  <c r="Q99" i="1"/>
  <c r="O98" i="1"/>
  <c r="P98" i="1"/>
  <c r="Q98" i="1"/>
  <c r="O97" i="1"/>
  <c r="P97" i="1"/>
  <c r="Q97" i="1"/>
  <c r="O96" i="1"/>
  <c r="P96" i="1"/>
  <c r="Q96" i="1"/>
  <c r="O95" i="1"/>
  <c r="P95" i="1"/>
  <c r="Q95" i="1"/>
  <c r="O94" i="1"/>
  <c r="P94" i="1"/>
  <c r="Q94" i="1"/>
  <c r="O93" i="1"/>
  <c r="P93" i="1"/>
  <c r="Q93" i="1"/>
  <c r="O92" i="1"/>
  <c r="P92" i="1"/>
  <c r="Q92" i="1"/>
  <c r="O91" i="1"/>
  <c r="P91" i="1"/>
  <c r="Q91" i="1"/>
  <c r="O90" i="1"/>
  <c r="P90" i="1"/>
  <c r="Q90" i="1"/>
  <c r="O89" i="1"/>
  <c r="P89" i="1"/>
  <c r="Q89" i="1"/>
  <c r="O88" i="1"/>
  <c r="P88" i="1"/>
  <c r="Q88" i="1"/>
  <c r="O87" i="1"/>
  <c r="P87" i="1"/>
  <c r="Q87" i="1"/>
  <c r="O86" i="1"/>
  <c r="P86" i="1"/>
  <c r="Q86" i="1"/>
  <c r="O85" i="1"/>
  <c r="P85" i="1"/>
  <c r="Q85" i="1"/>
  <c r="O84" i="1"/>
  <c r="P84" i="1"/>
  <c r="Q84" i="1"/>
  <c r="O83" i="1"/>
  <c r="P83" i="1"/>
  <c r="Q83" i="1"/>
  <c r="O82" i="1"/>
  <c r="P82" i="1"/>
  <c r="Q82" i="1"/>
  <c r="O81" i="1"/>
  <c r="P81" i="1"/>
  <c r="Q81" i="1"/>
  <c r="O80" i="1"/>
  <c r="P80" i="1"/>
  <c r="Q80" i="1"/>
  <c r="O79" i="1"/>
  <c r="P79" i="1"/>
  <c r="Q79" i="1"/>
  <c r="O78" i="1"/>
  <c r="P78" i="1"/>
  <c r="Q78" i="1"/>
  <c r="O77" i="1"/>
  <c r="P77" i="1"/>
  <c r="Q77" i="1"/>
  <c r="O76" i="1"/>
  <c r="P76" i="1"/>
  <c r="Q76" i="1"/>
  <c r="O75" i="1"/>
  <c r="P75" i="1"/>
  <c r="Q75" i="1"/>
  <c r="O74" i="1"/>
  <c r="P74" i="1"/>
  <c r="Q74" i="1"/>
  <c r="O73" i="1"/>
  <c r="P73" i="1"/>
  <c r="Q73" i="1"/>
  <c r="O72" i="1"/>
  <c r="P72" i="1"/>
  <c r="Q72" i="1"/>
  <c r="O71" i="1"/>
  <c r="P71" i="1"/>
  <c r="Q71" i="1"/>
  <c r="O70" i="1"/>
  <c r="P70" i="1"/>
  <c r="Q70" i="1"/>
  <c r="O69" i="1"/>
  <c r="P69" i="1"/>
  <c r="Q69" i="1"/>
  <c r="O68" i="1"/>
  <c r="P68" i="1"/>
  <c r="Q68" i="1"/>
  <c r="O67" i="1"/>
  <c r="P67" i="1"/>
  <c r="Q67" i="1"/>
  <c r="O66" i="1"/>
  <c r="P66" i="1"/>
  <c r="Q66" i="1"/>
  <c r="O65" i="1"/>
  <c r="P65" i="1"/>
  <c r="Q65" i="1"/>
  <c r="O64" i="1"/>
  <c r="P64" i="1"/>
  <c r="Q64" i="1"/>
  <c r="O63" i="1"/>
  <c r="P63" i="1"/>
  <c r="Q63" i="1"/>
  <c r="O62" i="1"/>
  <c r="P62" i="1"/>
  <c r="Q62" i="1"/>
  <c r="O61" i="1"/>
  <c r="P61" i="1"/>
  <c r="Q61" i="1"/>
  <c r="O60" i="1"/>
  <c r="P60" i="1"/>
  <c r="Q60" i="1"/>
  <c r="O59" i="1"/>
  <c r="P59" i="1"/>
  <c r="Q59" i="1"/>
  <c r="O58" i="1"/>
  <c r="P58" i="1"/>
  <c r="Q58" i="1"/>
  <c r="O57" i="1"/>
  <c r="P57" i="1"/>
  <c r="Q57" i="1"/>
  <c r="O56" i="1"/>
  <c r="P56" i="1"/>
  <c r="Q56" i="1"/>
  <c r="O55" i="1"/>
  <c r="P55" i="1"/>
  <c r="Q55" i="1"/>
  <c r="O54" i="1"/>
  <c r="P54" i="1"/>
  <c r="Q54" i="1"/>
  <c r="O53" i="1"/>
  <c r="P53" i="1"/>
  <c r="Q53" i="1"/>
  <c r="O52" i="1"/>
  <c r="P52" i="1"/>
  <c r="Q52" i="1"/>
  <c r="O51" i="1"/>
  <c r="P51" i="1"/>
  <c r="Q51" i="1"/>
  <c r="O50" i="1"/>
  <c r="P50" i="1"/>
  <c r="Q50" i="1"/>
  <c r="O49" i="1"/>
  <c r="P49" i="1"/>
  <c r="Q49" i="1"/>
  <c r="O48" i="1"/>
  <c r="P48" i="1"/>
  <c r="Q48" i="1"/>
  <c r="O47" i="1"/>
  <c r="P47" i="1"/>
  <c r="Q47" i="1"/>
  <c r="O46" i="1"/>
  <c r="P46" i="1"/>
  <c r="Q46" i="1"/>
  <c r="O45" i="1"/>
  <c r="P45" i="1"/>
  <c r="Q45" i="1"/>
  <c r="O44" i="1"/>
  <c r="P44" i="1"/>
  <c r="Q44" i="1"/>
  <c r="O43" i="1"/>
  <c r="P43" i="1"/>
  <c r="Q43" i="1"/>
  <c r="O42" i="1"/>
  <c r="P42" i="1"/>
  <c r="Q42" i="1"/>
  <c r="O41" i="1"/>
  <c r="P41" i="1"/>
  <c r="Q41" i="1"/>
  <c r="O40" i="1"/>
  <c r="P40" i="1"/>
  <c r="Q40" i="1"/>
  <c r="O39" i="1"/>
  <c r="P39" i="1"/>
  <c r="Q39" i="1"/>
  <c r="O38" i="1"/>
  <c r="P38" i="1"/>
  <c r="Q38" i="1"/>
  <c r="O37" i="1"/>
  <c r="P37" i="1"/>
  <c r="Q37" i="1"/>
  <c r="O35" i="1"/>
  <c r="P35" i="1"/>
  <c r="Q35" i="1"/>
  <c r="O34" i="1"/>
  <c r="P34" i="1"/>
  <c r="Q34" i="1"/>
  <c r="O33" i="1"/>
  <c r="P33" i="1"/>
  <c r="Q33" i="1"/>
  <c r="O32" i="1"/>
  <c r="P32" i="1"/>
  <c r="Q32" i="1"/>
  <c r="O31" i="1"/>
  <c r="P31" i="1"/>
  <c r="Q31" i="1"/>
  <c r="O30" i="1"/>
  <c r="P30" i="1"/>
  <c r="Q30" i="1"/>
  <c r="O29" i="1"/>
  <c r="P29" i="1"/>
  <c r="Q29" i="1"/>
  <c r="O28" i="1"/>
  <c r="P28" i="1"/>
  <c r="Q28" i="1"/>
  <c r="O27" i="1"/>
  <c r="P27" i="1"/>
  <c r="Q27" i="1"/>
  <c r="O26" i="1"/>
  <c r="P26" i="1"/>
  <c r="Q26" i="1"/>
  <c r="O25" i="1"/>
  <c r="P25" i="1"/>
  <c r="Q25" i="1"/>
  <c r="O24" i="1"/>
  <c r="P24" i="1"/>
  <c r="Q24" i="1"/>
  <c r="O23" i="1"/>
  <c r="P23" i="1"/>
  <c r="Q23" i="1"/>
  <c r="O22" i="1"/>
  <c r="P22" i="1"/>
  <c r="Q22" i="1"/>
  <c r="O21" i="1"/>
  <c r="P21" i="1"/>
  <c r="Q21" i="1"/>
  <c r="O20" i="1"/>
  <c r="P20" i="1"/>
  <c r="Q20" i="1"/>
  <c r="O19" i="1"/>
  <c r="P19" i="1"/>
  <c r="Q19" i="1"/>
  <c r="O18" i="1"/>
  <c r="P18" i="1"/>
  <c r="Q18" i="1"/>
  <c r="O17" i="1"/>
  <c r="P17" i="1"/>
  <c r="Q17" i="1"/>
  <c r="O16" i="1"/>
  <c r="P16" i="1"/>
  <c r="Q16" i="1"/>
  <c r="O15" i="1"/>
  <c r="P15" i="1"/>
  <c r="Q15" i="1"/>
  <c r="O14" i="1"/>
  <c r="P14" i="1"/>
  <c r="Q14" i="1"/>
  <c r="O13" i="1"/>
  <c r="P13" i="1"/>
  <c r="Q13" i="1"/>
  <c r="O12" i="1"/>
  <c r="P12" i="1"/>
  <c r="Q12" i="1"/>
  <c r="O11" i="1"/>
  <c r="P11" i="1"/>
  <c r="Q11" i="1"/>
  <c r="O10" i="1"/>
  <c r="P10" i="1"/>
  <c r="Q10" i="1"/>
  <c r="O9" i="1"/>
  <c r="P9" i="1"/>
  <c r="Q9" i="1"/>
  <c r="O8" i="1"/>
  <c r="P8" i="1"/>
  <c r="Q8" i="1"/>
  <c r="O7" i="1"/>
  <c r="P7" i="1"/>
  <c r="Q7" i="1"/>
  <c r="O6" i="1"/>
  <c r="P6" i="1"/>
  <c r="Q6" i="1"/>
  <c r="O5" i="1"/>
  <c r="P5" i="1"/>
  <c r="Q5" i="1"/>
  <c r="O4" i="1"/>
  <c r="P4" i="1"/>
  <c r="Q4" i="1"/>
  <c r="O3" i="1"/>
  <c r="P3" i="1"/>
  <c r="Q3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T36" i="1" l="1"/>
  <c r="X36" i="1" s="1"/>
  <c r="R36" i="1"/>
  <c r="V36" i="1" s="1"/>
  <c r="S36" i="1"/>
  <c r="W36" i="1" s="1"/>
  <c r="U63" i="1"/>
  <c r="Y63" i="1" s="1"/>
  <c r="U71" i="1"/>
  <c r="Y71" i="1" s="1"/>
  <c r="U103" i="1"/>
  <c r="Y103" i="1" s="1"/>
  <c r="U25" i="1"/>
  <c r="Y25" i="1" s="1"/>
  <c r="U50" i="1"/>
  <c r="Y50" i="1" s="1"/>
  <c r="U90" i="1"/>
  <c r="R90" i="1" s="1"/>
  <c r="V90" i="1" s="1"/>
  <c r="U3" i="1"/>
  <c r="Y3" i="1" s="1"/>
  <c r="U11" i="1"/>
  <c r="Y11" i="1" s="1"/>
  <c r="U19" i="1"/>
  <c r="Y19" i="1" s="1"/>
  <c r="U27" i="1"/>
  <c r="Y27" i="1" s="1"/>
  <c r="U35" i="1"/>
  <c r="Y35" i="1" s="1"/>
  <c r="U44" i="1"/>
  <c r="Y44" i="1" s="1"/>
  <c r="U52" i="1"/>
  <c r="Y52" i="1" s="1"/>
  <c r="U60" i="1"/>
  <c r="R60" i="1" s="1"/>
  <c r="V60" i="1" s="1"/>
  <c r="U68" i="1"/>
  <c r="Y68" i="1" s="1"/>
  <c r="U76" i="1"/>
  <c r="Y76" i="1" s="1"/>
  <c r="U84" i="1"/>
  <c r="U92" i="1"/>
  <c r="Y92" i="1" s="1"/>
  <c r="U100" i="1"/>
  <c r="Y100" i="1" s="1"/>
  <c r="U108" i="1"/>
  <c r="S108" i="1" s="1"/>
  <c r="W108" i="1" s="1"/>
  <c r="U14" i="1"/>
  <c r="R14" i="1" s="1"/>
  <c r="V14" i="1" s="1"/>
  <c r="U30" i="1"/>
  <c r="Y30" i="1" s="1"/>
  <c r="U98" i="1"/>
  <c r="Y98" i="1" s="1"/>
  <c r="U4" i="1"/>
  <c r="Y4" i="1" s="1"/>
  <c r="U12" i="1"/>
  <c r="Y12" i="1" s="1"/>
  <c r="U20" i="1"/>
  <c r="Y20" i="1" s="1"/>
  <c r="U28" i="1"/>
  <c r="Y28" i="1" s="1"/>
  <c r="U37" i="1"/>
  <c r="Y37" i="1" s="1"/>
  <c r="U45" i="1"/>
  <c r="Y45" i="1" s="1"/>
  <c r="U53" i="1"/>
  <c r="Y53" i="1" s="1"/>
  <c r="U61" i="1"/>
  <c r="Y61" i="1" s="1"/>
  <c r="U69" i="1"/>
  <c r="Y69" i="1" s="1"/>
  <c r="U77" i="1"/>
  <c r="S77" i="1" s="1"/>
  <c r="W77" i="1" s="1"/>
  <c r="U85" i="1"/>
  <c r="Y85" i="1" s="1"/>
  <c r="U93" i="1"/>
  <c r="Y93" i="1" s="1"/>
  <c r="U101" i="1"/>
  <c r="Y101" i="1" s="1"/>
  <c r="U109" i="1"/>
  <c r="Y109" i="1" s="1"/>
  <c r="U6" i="1"/>
  <c r="Y6" i="1" s="1"/>
  <c r="U22" i="1"/>
  <c r="Y22" i="1" s="1"/>
  <c r="U79" i="1"/>
  <c r="Y79" i="1" s="1"/>
  <c r="U7" i="1"/>
  <c r="Y7" i="1" s="1"/>
  <c r="U15" i="1"/>
  <c r="S15" i="1" s="1"/>
  <c r="W15" i="1" s="1"/>
  <c r="U23" i="1"/>
  <c r="Y23" i="1" s="1"/>
  <c r="U31" i="1"/>
  <c r="Y31" i="1" s="1"/>
  <c r="U40" i="1"/>
  <c r="S40" i="1" s="1"/>
  <c r="W40" i="1" s="1"/>
  <c r="U48" i="1"/>
  <c r="Y48" i="1" s="1"/>
  <c r="U56" i="1"/>
  <c r="Y56" i="1" s="1"/>
  <c r="U64" i="1"/>
  <c r="Y64" i="1" s="1"/>
  <c r="U72" i="1"/>
  <c r="Y72" i="1" s="1"/>
  <c r="U80" i="1"/>
  <c r="Y80" i="1" s="1"/>
  <c r="U88" i="1"/>
  <c r="Y88" i="1" s="1"/>
  <c r="U96" i="1"/>
  <c r="Y96" i="1" s="1"/>
  <c r="U104" i="1"/>
  <c r="Y104" i="1" s="1"/>
  <c r="U55" i="1"/>
  <c r="Y55" i="1" s="1"/>
  <c r="U17" i="1"/>
  <c r="Y17" i="1" s="1"/>
  <c r="U33" i="1"/>
  <c r="Y33" i="1" s="1"/>
  <c r="U10" i="1"/>
  <c r="Y10" i="1" s="1"/>
  <c r="U18" i="1"/>
  <c r="Y18" i="1" s="1"/>
  <c r="U26" i="1"/>
  <c r="Y26" i="1" s="1"/>
  <c r="U34" i="1"/>
  <c r="Y34" i="1" s="1"/>
  <c r="U43" i="1"/>
  <c r="R43" i="1" s="1"/>
  <c r="V43" i="1" s="1"/>
  <c r="U51" i="1"/>
  <c r="Y51" i="1" s="1"/>
  <c r="U59" i="1"/>
  <c r="Y59" i="1" s="1"/>
  <c r="U67" i="1"/>
  <c r="Y67" i="1" s="1"/>
  <c r="U83" i="1"/>
  <c r="Y83" i="1" s="1"/>
  <c r="U91" i="1"/>
  <c r="Y91" i="1" s="1"/>
  <c r="U99" i="1"/>
  <c r="Y99" i="1" s="1"/>
  <c r="U107" i="1"/>
  <c r="Y107" i="1" s="1"/>
  <c r="U39" i="1"/>
  <c r="Y39" i="1" s="1"/>
  <c r="U47" i="1"/>
  <c r="Y47" i="1" s="1"/>
  <c r="U87" i="1"/>
  <c r="Y87" i="1" s="1"/>
  <c r="U66" i="1"/>
  <c r="Y66" i="1" s="1"/>
  <c r="U74" i="1"/>
  <c r="Y74" i="1" s="1"/>
  <c r="U82" i="1"/>
  <c r="Y82" i="1" s="1"/>
  <c r="U106" i="1"/>
  <c r="Y106" i="1" s="1"/>
  <c r="U5" i="1"/>
  <c r="R5" i="1" s="1"/>
  <c r="V5" i="1" s="1"/>
  <c r="U13" i="1"/>
  <c r="Y13" i="1" s="1"/>
  <c r="U21" i="1"/>
  <c r="Y21" i="1" s="1"/>
  <c r="U29" i="1"/>
  <c r="Y29" i="1" s="1"/>
  <c r="U38" i="1"/>
  <c r="Y38" i="1" s="1"/>
  <c r="U46" i="1"/>
  <c r="Y46" i="1" s="1"/>
  <c r="U54" i="1"/>
  <c r="Y54" i="1" s="1"/>
  <c r="U62" i="1"/>
  <c r="Y62" i="1" s="1"/>
  <c r="U70" i="1"/>
  <c r="Y70" i="1" s="1"/>
  <c r="U78" i="1"/>
  <c r="Y78" i="1" s="1"/>
  <c r="U86" i="1"/>
  <c r="Y86" i="1" s="1"/>
  <c r="U94" i="1"/>
  <c r="Y94" i="1" s="1"/>
  <c r="U102" i="1"/>
  <c r="Y102" i="1" s="1"/>
  <c r="U95" i="1"/>
  <c r="Y95" i="1" s="1"/>
  <c r="U9" i="1"/>
  <c r="Y9" i="1" s="1"/>
  <c r="S28" i="1"/>
  <c r="W28" i="1" s="1"/>
  <c r="U42" i="1"/>
  <c r="Y42" i="1" s="1"/>
  <c r="U58" i="1"/>
  <c r="Y58" i="1" s="1"/>
  <c r="U8" i="1"/>
  <c r="Y8" i="1" s="1"/>
  <c r="U16" i="1"/>
  <c r="Y16" i="1" s="1"/>
  <c r="U24" i="1"/>
  <c r="R24" i="1" s="1"/>
  <c r="V24" i="1" s="1"/>
  <c r="U32" i="1"/>
  <c r="Y32" i="1" s="1"/>
  <c r="U41" i="1"/>
  <c r="Y41" i="1" s="1"/>
  <c r="U49" i="1"/>
  <c r="Y49" i="1" s="1"/>
  <c r="T55" i="1"/>
  <c r="X55" i="1" s="1"/>
  <c r="U57" i="1"/>
  <c r="Y57" i="1" s="1"/>
  <c r="S60" i="1"/>
  <c r="W60" i="1" s="1"/>
  <c r="T63" i="1"/>
  <c r="X63" i="1" s="1"/>
  <c r="U65" i="1"/>
  <c r="S65" i="1" s="1"/>
  <c r="W65" i="1" s="1"/>
  <c r="U73" i="1"/>
  <c r="Y73" i="1" s="1"/>
  <c r="T79" i="1"/>
  <c r="X79" i="1" s="1"/>
  <c r="U81" i="1"/>
  <c r="Y81" i="1" s="1"/>
  <c r="U89" i="1"/>
  <c r="Y89" i="1" s="1"/>
  <c r="U97" i="1"/>
  <c r="Y97" i="1" s="1"/>
  <c r="U105" i="1"/>
  <c r="Y105" i="1" s="1"/>
  <c r="U75" i="1"/>
  <c r="S75" i="1" s="1"/>
  <c r="W75" i="1" s="1"/>
  <c r="T11" i="1" l="1"/>
  <c r="X11" i="1" s="1"/>
  <c r="S11" i="1"/>
  <c r="W11" i="1" s="1"/>
  <c r="S20" i="1"/>
  <c r="W20" i="1" s="1"/>
  <c r="T31" i="1"/>
  <c r="X31" i="1" s="1"/>
  <c r="T101" i="1"/>
  <c r="X101" i="1" s="1"/>
  <c r="R59" i="1"/>
  <c r="V59" i="1" s="1"/>
  <c r="R77" i="1"/>
  <c r="V77" i="1" s="1"/>
  <c r="R71" i="1"/>
  <c r="V71" i="1" s="1"/>
  <c r="T28" i="1"/>
  <c r="X28" i="1" s="1"/>
  <c r="R57" i="1"/>
  <c r="V57" i="1" s="1"/>
  <c r="S93" i="1"/>
  <c r="W93" i="1" s="1"/>
  <c r="S17" i="1"/>
  <c r="W17" i="1" s="1"/>
  <c r="R58" i="1"/>
  <c r="V58" i="1" s="1"/>
  <c r="R108" i="1"/>
  <c r="V108" i="1" s="1"/>
  <c r="R64" i="1"/>
  <c r="V64" i="1" s="1"/>
  <c r="R39" i="1"/>
  <c r="V39" i="1" s="1"/>
  <c r="R72" i="1"/>
  <c r="V72" i="1" s="1"/>
  <c r="S92" i="1"/>
  <c r="W92" i="1" s="1"/>
  <c r="S12" i="1"/>
  <c r="W12" i="1" s="1"/>
  <c r="R51" i="1"/>
  <c r="V51" i="1" s="1"/>
  <c r="T69" i="1"/>
  <c r="X69" i="1" s="1"/>
  <c r="S44" i="1"/>
  <c r="W44" i="1" s="1"/>
  <c r="T6" i="1"/>
  <c r="X6" i="1" s="1"/>
  <c r="T44" i="1"/>
  <c r="X44" i="1" s="1"/>
  <c r="R28" i="1"/>
  <c r="V28" i="1" s="1"/>
  <c r="S63" i="1"/>
  <c r="W63" i="1" s="1"/>
  <c r="R41" i="1"/>
  <c r="V41" i="1" s="1"/>
  <c r="T92" i="1"/>
  <c r="X92" i="1" s="1"/>
  <c r="T61" i="1"/>
  <c r="X61" i="1" s="1"/>
  <c r="R48" i="1"/>
  <c r="V48" i="1" s="1"/>
  <c r="R100" i="1"/>
  <c r="V100" i="1" s="1"/>
  <c r="R70" i="1"/>
  <c r="V70" i="1" s="1"/>
  <c r="R21" i="1"/>
  <c r="V21" i="1" s="1"/>
  <c r="R34" i="1"/>
  <c r="V34" i="1" s="1"/>
  <c r="R7" i="1"/>
  <c r="V7" i="1" s="1"/>
  <c r="R37" i="1"/>
  <c r="V37" i="1" s="1"/>
  <c r="T66" i="1"/>
  <c r="X66" i="1" s="1"/>
  <c r="R50" i="1"/>
  <c r="V50" i="1" s="1"/>
  <c r="T76" i="1"/>
  <c r="X76" i="1" s="1"/>
  <c r="T103" i="1"/>
  <c r="X103" i="1" s="1"/>
  <c r="R45" i="1"/>
  <c r="V45" i="1" s="1"/>
  <c r="S82" i="1"/>
  <c r="W82" i="1" s="1"/>
  <c r="S102" i="1"/>
  <c r="W102" i="1" s="1"/>
  <c r="T109" i="1"/>
  <c r="X109" i="1" s="1"/>
  <c r="S103" i="1"/>
  <c r="W103" i="1" s="1"/>
  <c r="R95" i="1"/>
  <c r="V95" i="1" s="1"/>
  <c r="S33" i="1"/>
  <c r="W33" i="1" s="1"/>
  <c r="S14" i="1"/>
  <c r="W14" i="1" s="1"/>
  <c r="S57" i="1"/>
  <c r="W57" i="1" s="1"/>
  <c r="S13" i="1"/>
  <c r="W13" i="1" s="1"/>
  <c r="T23" i="1"/>
  <c r="X23" i="1" s="1"/>
  <c r="S76" i="1"/>
  <c r="W76" i="1" s="1"/>
  <c r="T7" i="1"/>
  <c r="X7" i="1" s="1"/>
  <c r="T48" i="1"/>
  <c r="X48" i="1" s="1"/>
  <c r="R89" i="1"/>
  <c r="V89" i="1" s="1"/>
  <c r="T56" i="1"/>
  <c r="X56" i="1" s="1"/>
  <c r="S46" i="1"/>
  <c r="W46" i="1" s="1"/>
  <c r="R23" i="1"/>
  <c r="V23" i="1" s="1"/>
  <c r="S4" i="1"/>
  <c r="W4" i="1" s="1"/>
  <c r="S45" i="1"/>
  <c r="W45" i="1" s="1"/>
  <c r="S53" i="1"/>
  <c r="W53" i="1" s="1"/>
  <c r="S25" i="1"/>
  <c r="W25" i="1" s="1"/>
  <c r="T95" i="1"/>
  <c r="X95" i="1" s="1"/>
  <c r="S78" i="1"/>
  <c r="W78" i="1" s="1"/>
  <c r="R33" i="1"/>
  <c r="V33" i="1" s="1"/>
  <c r="T4" i="1"/>
  <c r="X4" i="1" s="1"/>
  <c r="R109" i="1"/>
  <c r="V109" i="1" s="1"/>
  <c r="T18" i="1"/>
  <c r="X18" i="1" s="1"/>
  <c r="R105" i="1"/>
  <c r="V105" i="1" s="1"/>
  <c r="T96" i="1"/>
  <c r="X96" i="1" s="1"/>
  <c r="R78" i="1"/>
  <c r="V78" i="1" s="1"/>
  <c r="S24" i="1"/>
  <c r="W24" i="1" s="1"/>
  <c r="R106" i="1"/>
  <c r="V106" i="1" s="1"/>
  <c r="R99" i="1"/>
  <c r="V99" i="1" s="1"/>
  <c r="S62" i="1"/>
  <c r="W62" i="1" s="1"/>
  <c r="R10" i="1"/>
  <c r="V10" i="1" s="1"/>
  <c r="S90" i="1"/>
  <c r="W90" i="1" s="1"/>
  <c r="T102" i="1"/>
  <c r="X102" i="1" s="1"/>
  <c r="T70" i="1"/>
  <c r="X70" i="1" s="1"/>
  <c r="R40" i="1"/>
  <c r="V40" i="1" s="1"/>
  <c r="T21" i="1"/>
  <c r="X21" i="1" s="1"/>
  <c r="R79" i="1"/>
  <c r="V79" i="1" s="1"/>
  <c r="R101" i="1"/>
  <c r="V101" i="1" s="1"/>
  <c r="R12" i="1"/>
  <c r="V12" i="1" s="1"/>
  <c r="R92" i="1"/>
  <c r="V92" i="1" s="1"/>
  <c r="T17" i="1"/>
  <c r="X17" i="1" s="1"/>
  <c r="R63" i="1"/>
  <c r="V63" i="1" s="1"/>
  <c r="S27" i="1"/>
  <c r="W27" i="1" s="1"/>
  <c r="S18" i="1"/>
  <c r="W18" i="1" s="1"/>
  <c r="T34" i="1"/>
  <c r="X34" i="1" s="1"/>
  <c r="S37" i="1"/>
  <c r="W37" i="1" s="1"/>
  <c r="T27" i="1"/>
  <c r="X27" i="1" s="1"/>
  <c r="T87" i="1"/>
  <c r="X87" i="1" s="1"/>
  <c r="R55" i="1"/>
  <c r="V55" i="1" s="1"/>
  <c r="T38" i="1"/>
  <c r="X38" i="1" s="1"/>
  <c r="R22" i="1"/>
  <c r="V22" i="1" s="1"/>
  <c r="R93" i="1"/>
  <c r="V93" i="1" s="1"/>
  <c r="R61" i="1"/>
  <c r="V61" i="1" s="1"/>
  <c r="S31" i="1"/>
  <c r="W31" i="1" s="1"/>
  <c r="R4" i="1"/>
  <c r="V4" i="1" s="1"/>
  <c r="T50" i="1"/>
  <c r="X50" i="1" s="1"/>
  <c r="R25" i="1"/>
  <c r="V25" i="1" s="1"/>
  <c r="S50" i="1"/>
  <c r="W50" i="1" s="1"/>
  <c r="R104" i="1"/>
  <c r="V104" i="1" s="1"/>
  <c r="S9" i="1"/>
  <c r="W9" i="1" s="1"/>
  <c r="S41" i="1"/>
  <c r="W41" i="1" s="1"/>
  <c r="S86" i="1"/>
  <c r="W86" i="1" s="1"/>
  <c r="T32" i="1"/>
  <c r="X32" i="1" s="1"/>
  <c r="T86" i="1"/>
  <c r="X86" i="1" s="1"/>
  <c r="S34" i="1"/>
  <c r="W34" i="1" s="1"/>
  <c r="T82" i="1"/>
  <c r="X82" i="1" s="1"/>
  <c r="R97" i="1"/>
  <c r="V97" i="1" s="1"/>
  <c r="R42" i="1"/>
  <c r="V42" i="1" s="1"/>
  <c r="R38" i="1"/>
  <c r="V38" i="1" s="1"/>
  <c r="R82" i="1"/>
  <c r="V82" i="1" s="1"/>
  <c r="R83" i="1"/>
  <c r="V83" i="1" s="1"/>
  <c r="S29" i="1"/>
  <c r="W29" i="1" s="1"/>
  <c r="T54" i="1"/>
  <c r="X54" i="1" s="1"/>
  <c r="R31" i="1"/>
  <c r="V31" i="1" s="1"/>
  <c r="R6" i="1"/>
  <c r="V6" i="1" s="1"/>
  <c r="R85" i="1"/>
  <c r="V85" i="1" s="1"/>
  <c r="T51" i="1"/>
  <c r="X51" i="1" s="1"/>
  <c r="R98" i="1"/>
  <c r="V98" i="1" s="1"/>
  <c r="T104" i="1"/>
  <c r="X104" i="1" s="1"/>
  <c r="R103" i="1"/>
  <c r="V103" i="1" s="1"/>
  <c r="R8" i="1"/>
  <c r="V8" i="1" s="1"/>
  <c r="R62" i="1"/>
  <c r="V62" i="1" s="1"/>
  <c r="S8" i="1"/>
  <c r="W8" i="1" s="1"/>
  <c r="R74" i="1"/>
  <c r="V74" i="1" s="1"/>
  <c r="R87" i="1"/>
  <c r="V87" i="1" s="1"/>
  <c r="T49" i="1"/>
  <c r="X49" i="1" s="1"/>
  <c r="R80" i="1"/>
  <c r="V80" i="1" s="1"/>
  <c r="S51" i="1"/>
  <c r="W51" i="1" s="1"/>
  <c r="T72" i="1"/>
  <c r="X72" i="1" s="1"/>
  <c r="T33" i="1"/>
  <c r="X33" i="1" s="1"/>
  <c r="S73" i="1"/>
  <c r="W73" i="1" s="1"/>
  <c r="S89" i="1"/>
  <c r="W89" i="1" s="1"/>
  <c r="S99" i="1"/>
  <c r="W99" i="1" s="1"/>
  <c r="S83" i="1"/>
  <c r="W83" i="1" s="1"/>
  <c r="R15" i="1"/>
  <c r="V15" i="1" s="1"/>
  <c r="Y15" i="1"/>
  <c r="T99" i="1"/>
  <c r="X99" i="1" s="1"/>
  <c r="T83" i="1"/>
  <c r="X83" i="1" s="1"/>
  <c r="S64" i="1"/>
  <c r="W64" i="1" s="1"/>
  <c r="S48" i="1"/>
  <c r="W48" i="1" s="1"/>
  <c r="S85" i="1"/>
  <c r="W85" i="1" s="1"/>
  <c r="T98" i="1"/>
  <c r="X98" i="1" s="1"/>
  <c r="S79" i="1"/>
  <c r="W79" i="1" s="1"/>
  <c r="S47" i="1"/>
  <c r="W47" i="1" s="1"/>
  <c r="S30" i="1"/>
  <c r="W30" i="1" s="1"/>
  <c r="S67" i="1"/>
  <c r="W67" i="1" s="1"/>
  <c r="S105" i="1"/>
  <c r="W105" i="1" s="1"/>
  <c r="R54" i="1"/>
  <c r="V54" i="1" s="1"/>
  <c r="T5" i="1"/>
  <c r="X5" i="1" s="1"/>
  <c r="Y5" i="1"/>
  <c r="T71" i="1"/>
  <c r="X71" i="1" s="1"/>
  <c r="T39" i="1"/>
  <c r="X39" i="1" s="1"/>
  <c r="T22" i="1"/>
  <c r="X22" i="1" s="1"/>
  <c r="S3" i="1"/>
  <c r="W3" i="1" s="1"/>
  <c r="R9" i="1"/>
  <c r="V9" i="1" s="1"/>
  <c r="R102" i="1"/>
  <c r="V102" i="1" s="1"/>
  <c r="R86" i="1"/>
  <c r="V86" i="1" s="1"/>
  <c r="T52" i="1"/>
  <c r="X52" i="1" s="1"/>
  <c r="T35" i="1"/>
  <c r="X35" i="1" s="1"/>
  <c r="T19" i="1"/>
  <c r="X19" i="1" s="1"/>
  <c r="T3" i="1"/>
  <c r="X3" i="1" s="1"/>
  <c r="R66" i="1"/>
  <c r="V66" i="1" s="1"/>
  <c r="T97" i="1"/>
  <c r="X97" i="1" s="1"/>
  <c r="T81" i="1"/>
  <c r="X81" i="1" s="1"/>
  <c r="T43" i="1"/>
  <c r="X43" i="1" s="1"/>
  <c r="Y43" i="1"/>
  <c r="R26" i="1"/>
  <c r="V26" i="1" s="1"/>
  <c r="T8" i="1"/>
  <c r="X8" i="1" s="1"/>
  <c r="R17" i="1"/>
  <c r="V17" i="1" s="1"/>
  <c r="S42" i="1"/>
  <c r="W42" i="1" s="1"/>
  <c r="R96" i="1"/>
  <c r="V96" i="1" s="1"/>
  <c r="T13" i="1"/>
  <c r="X13" i="1" s="1"/>
  <c r="S106" i="1"/>
  <c r="W106" i="1" s="1"/>
  <c r="S96" i="1"/>
  <c r="W96" i="1" s="1"/>
  <c r="S80" i="1"/>
  <c r="W80" i="1" s="1"/>
  <c r="S61" i="1"/>
  <c r="W61" i="1" s="1"/>
  <c r="T14" i="1"/>
  <c r="X14" i="1" s="1"/>
  <c r="Y14" i="1"/>
  <c r="S95" i="1"/>
  <c r="W95" i="1" s="1"/>
  <c r="R76" i="1"/>
  <c r="V76" i="1" s="1"/>
  <c r="R44" i="1"/>
  <c r="V44" i="1" s="1"/>
  <c r="R27" i="1"/>
  <c r="V27" i="1" s="1"/>
  <c r="R11" i="1"/>
  <c r="V11" i="1" s="1"/>
  <c r="T90" i="1"/>
  <c r="X90" i="1" s="1"/>
  <c r="Y90" i="1"/>
  <c r="T15" i="1"/>
  <c r="X15" i="1" s="1"/>
  <c r="T67" i="1"/>
  <c r="X67" i="1" s="1"/>
  <c r="S52" i="1"/>
  <c r="W52" i="1" s="1"/>
  <c r="S49" i="1"/>
  <c r="W49" i="1" s="1"/>
  <c r="S32" i="1"/>
  <c r="W32" i="1" s="1"/>
  <c r="S16" i="1"/>
  <c r="W16" i="1" s="1"/>
  <c r="S94" i="1"/>
  <c r="W94" i="1" s="1"/>
  <c r="T57" i="1"/>
  <c r="X57" i="1" s="1"/>
  <c r="T41" i="1"/>
  <c r="X41" i="1" s="1"/>
  <c r="S21" i="1"/>
  <c r="W21" i="1" s="1"/>
  <c r="S5" i="1"/>
  <c r="W5" i="1" s="1"/>
  <c r="T62" i="1"/>
  <c r="X62" i="1" s="1"/>
  <c r="T46" i="1"/>
  <c r="X46" i="1" s="1"/>
  <c r="T29" i="1"/>
  <c r="X29" i="1" s="1"/>
  <c r="S10" i="1"/>
  <c r="W10" i="1" s="1"/>
  <c r="T26" i="1"/>
  <c r="X26" i="1" s="1"/>
  <c r="T10" i="1"/>
  <c r="X10" i="1" s="1"/>
  <c r="T60" i="1"/>
  <c r="X60" i="1" s="1"/>
  <c r="Y60" i="1"/>
  <c r="T80" i="1"/>
  <c r="X80" i="1" s="1"/>
  <c r="S68" i="1"/>
  <c r="W68" i="1" s="1"/>
  <c r="S19" i="1"/>
  <c r="W19" i="1" s="1"/>
  <c r="T68" i="1"/>
  <c r="X68" i="1" s="1"/>
  <c r="R75" i="1"/>
  <c r="V75" i="1" s="1"/>
  <c r="R81" i="1"/>
  <c r="V81" i="1" s="1"/>
  <c r="R65" i="1"/>
  <c r="V65" i="1" s="1"/>
  <c r="R49" i="1"/>
  <c r="V49" i="1" s="1"/>
  <c r="R32" i="1"/>
  <c r="V32" i="1" s="1"/>
  <c r="R16" i="1"/>
  <c r="V16" i="1" s="1"/>
  <c r="T100" i="1"/>
  <c r="X100" i="1" s="1"/>
  <c r="S81" i="1"/>
  <c r="W81" i="1" s="1"/>
  <c r="R46" i="1"/>
  <c r="V46" i="1" s="1"/>
  <c r="R29" i="1"/>
  <c r="V29" i="1" s="1"/>
  <c r="R13" i="1"/>
  <c r="V13" i="1" s="1"/>
  <c r="S74" i="1"/>
  <c r="W74" i="1" s="1"/>
  <c r="R107" i="1"/>
  <c r="V107" i="1" s="1"/>
  <c r="R91" i="1"/>
  <c r="V91" i="1" s="1"/>
  <c r="T73" i="1"/>
  <c r="X73" i="1" s="1"/>
  <c r="S54" i="1"/>
  <c r="W54" i="1" s="1"/>
  <c r="S38" i="1"/>
  <c r="W38" i="1" s="1"/>
  <c r="R18" i="1"/>
  <c r="V18" i="1" s="1"/>
  <c r="S101" i="1"/>
  <c r="W101" i="1" s="1"/>
  <c r="T94" i="1"/>
  <c r="X94" i="1" s="1"/>
  <c r="T78" i="1"/>
  <c r="X78" i="1" s="1"/>
  <c r="S59" i="1"/>
  <c r="W59" i="1" s="1"/>
  <c r="S43" i="1"/>
  <c r="W43" i="1" s="1"/>
  <c r="S26" i="1"/>
  <c r="W26" i="1" s="1"/>
  <c r="T77" i="1"/>
  <c r="X77" i="1" s="1"/>
  <c r="Y77" i="1"/>
  <c r="T59" i="1"/>
  <c r="X59" i="1" s="1"/>
  <c r="S23" i="1"/>
  <c r="W23" i="1" s="1"/>
  <c r="S7" i="1"/>
  <c r="W7" i="1" s="1"/>
  <c r="T108" i="1"/>
  <c r="X108" i="1" s="1"/>
  <c r="Y108" i="1"/>
  <c r="T74" i="1"/>
  <c r="X74" i="1" s="1"/>
  <c r="T58" i="1"/>
  <c r="X58" i="1" s="1"/>
  <c r="T42" i="1"/>
  <c r="X42" i="1" s="1"/>
  <c r="T25" i="1"/>
  <c r="X25" i="1" s="1"/>
  <c r="T9" i="1"/>
  <c r="X9" i="1" s="1"/>
  <c r="T64" i="1"/>
  <c r="X64" i="1" s="1"/>
  <c r="T37" i="1"/>
  <c r="X37" i="1" s="1"/>
  <c r="T84" i="1"/>
  <c r="X84" i="1" s="1"/>
  <c r="Y84" i="1"/>
  <c r="T24" i="1"/>
  <c r="X24" i="1" s="1"/>
  <c r="Y24" i="1"/>
  <c r="R30" i="1"/>
  <c r="V30" i="1" s="1"/>
  <c r="S100" i="1"/>
  <c r="W100" i="1" s="1"/>
  <c r="S97" i="1"/>
  <c r="W97" i="1" s="1"/>
  <c r="S70" i="1"/>
  <c r="W70" i="1" s="1"/>
  <c r="T88" i="1"/>
  <c r="X88" i="1" s="1"/>
  <c r="S107" i="1"/>
  <c r="W107" i="1" s="1"/>
  <c r="S91" i="1"/>
  <c r="W91" i="1" s="1"/>
  <c r="S66" i="1"/>
  <c r="W66" i="1" s="1"/>
  <c r="T107" i="1"/>
  <c r="X107" i="1" s="1"/>
  <c r="T91" i="1"/>
  <c r="X91" i="1" s="1"/>
  <c r="S72" i="1"/>
  <c r="W72" i="1" s="1"/>
  <c r="S56" i="1"/>
  <c r="W56" i="1" s="1"/>
  <c r="S98" i="1"/>
  <c r="W98" i="1" s="1"/>
  <c r="T106" i="1"/>
  <c r="X106" i="1" s="1"/>
  <c r="S87" i="1"/>
  <c r="W87" i="1" s="1"/>
  <c r="S71" i="1"/>
  <c r="W71" i="1" s="1"/>
  <c r="S55" i="1"/>
  <c r="W55" i="1" s="1"/>
  <c r="S39" i="1"/>
  <c r="W39" i="1" s="1"/>
  <c r="S22" i="1"/>
  <c r="W22" i="1" s="1"/>
  <c r="S6" i="1"/>
  <c r="W6" i="1" s="1"/>
  <c r="T93" i="1"/>
  <c r="X93" i="1" s="1"/>
  <c r="T20" i="1"/>
  <c r="X20" i="1" s="1"/>
  <c r="R73" i="1"/>
  <c r="V73" i="1" s="1"/>
  <c r="S84" i="1"/>
  <c r="W84" i="1" s="1"/>
  <c r="S35" i="1"/>
  <c r="W35" i="1" s="1"/>
  <c r="T65" i="1"/>
  <c r="X65" i="1" s="1"/>
  <c r="Y65" i="1"/>
  <c r="T47" i="1"/>
  <c r="X47" i="1" s="1"/>
  <c r="T30" i="1"/>
  <c r="X30" i="1" s="1"/>
  <c r="S58" i="1"/>
  <c r="W58" i="1" s="1"/>
  <c r="R94" i="1"/>
  <c r="V94" i="1" s="1"/>
  <c r="R47" i="1"/>
  <c r="V47" i="1" s="1"/>
  <c r="T105" i="1"/>
  <c r="X105" i="1" s="1"/>
  <c r="T89" i="1"/>
  <c r="X89" i="1" s="1"/>
  <c r="R67" i="1"/>
  <c r="V67" i="1" s="1"/>
  <c r="T16" i="1"/>
  <c r="X16" i="1" s="1"/>
  <c r="S69" i="1"/>
  <c r="W69" i="1" s="1"/>
  <c r="R88" i="1"/>
  <c r="V88" i="1" s="1"/>
  <c r="R56" i="1"/>
  <c r="V56" i="1" s="1"/>
  <c r="T40" i="1"/>
  <c r="X40" i="1" s="1"/>
  <c r="Y40" i="1"/>
  <c r="S109" i="1"/>
  <c r="W109" i="1" s="1"/>
  <c r="T45" i="1"/>
  <c r="X45" i="1" s="1"/>
  <c r="S104" i="1"/>
  <c r="W104" i="1" s="1"/>
  <c r="S88" i="1"/>
  <c r="W88" i="1" s="1"/>
  <c r="R69" i="1"/>
  <c r="V69" i="1" s="1"/>
  <c r="R53" i="1"/>
  <c r="V53" i="1" s="1"/>
  <c r="R20" i="1"/>
  <c r="V20" i="1" s="1"/>
  <c r="T53" i="1"/>
  <c r="X53" i="1" s="1"/>
  <c r="R84" i="1"/>
  <c r="V84" i="1" s="1"/>
  <c r="R68" i="1"/>
  <c r="V68" i="1" s="1"/>
  <c r="R52" i="1"/>
  <c r="V52" i="1" s="1"/>
  <c r="R35" i="1"/>
  <c r="V35" i="1" s="1"/>
  <c r="R19" i="1"/>
  <c r="V19" i="1" s="1"/>
  <c r="R3" i="1"/>
  <c r="V3" i="1" s="1"/>
  <c r="T85" i="1"/>
  <c r="X85" i="1" s="1"/>
  <c r="T12" i="1"/>
  <c r="X12" i="1" s="1"/>
  <c r="T75" i="1"/>
  <c r="X75" i="1" s="1"/>
  <c r="Y75" i="1"/>
  <c r="S1" i="1" l="1"/>
  <c r="R1" i="1"/>
  <c r="U1" i="1"/>
  <c r="T1" i="1"/>
  <c r="P1" i="1" l="1"/>
  <c r="M1" i="1" s="1"/>
  <c r="Q1" i="1"/>
  <c r="N1" i="1" s="1"/>
  <c r="O1" i="1"/>
  <c r="L1" i="1" s="1"/>
  <c r="K1" i="1" l="1"/>
</calcChain>
</file>

<file path=xl/sharedStrings.xml><?xml version="1.0" encoding="utf-8"?>
<sst xmlns="http://schemas.openxmlformats.org/spreadsheetml/2006/main" count="1098" uniqueCount="234">
  <si>
    <t>ブラック</t>
    <phoneticPr fontId="1"/>
  </si>
  <si>
    <t>ホワイト</t>
    <phoneticPr fontId="1"/>
  </si>
  <si>
    <t>ロイヤルブルー</t>
    <phoneticPr fontId="1"/>
  </si>
  <si>
    <t>ブルー</t>
    <phoneticPr fontId="1"/>
  </si>
  <si>
    <t>グリーン</t>
    <phoneticPr fontId="1"/>
  </si>
  <si>
    <t>オレンジ</t>
    <phoneticPr fontId="1"/>
  </si>
  <si>
    <t>レモンイエロー</t>
    <phoneticPr fontId="1"/>
  </si>
  <si>
    <t>ブラウン</t>
    <phoneticPr fontId="1"/>
  </si>
  <si>
    <t>ガンメタル</t>
    <phoneticPr fontId="1"/>
  </si>
  <si>
    <t>クロームシルバー</t>
    <phoneticPr fontId="1"/>
  </si>
  <si>
    <t>ゴールドリーフ</t>
    <phoneticPr fontId="1"/>
  </si>
  <si>
    <t>メタリックブルー</t>
    <phoneticPr fontId="1"/>
  </si>
  <si>
    <t>スカイブルー</t>
    <phoneticPr fontId="1"/>
  </si>
  <si>
    <t>ライトグリーン</t>
    <phoneticPr fontId="1"/>
  </si>
  <si>
    <t>パープル</t>
    <phoneticPr fontId="1"/>
  </si>
  <si>
    <t>ピンク</t>
    <phoneticPr fontId="1"/>
  </si>
  <si>
    <t>セミグロスブラック</t>
    <phoneticPr fontId="1"/>
  </si>
  <si>
    <t>スモーク</t>
    <phoneticPr fontId="1"/>
  </si>
  <si>
    <t>アクリル溶剤</t>
    <rPh sb="4" eb="6">
      <t>ヨウザイ</t>
    </rPh>
    <phoneticPr fontId="1"/>
  </si>
  <si>
    <t>エナメル溶剤</t>
    <rPh sb="4" eb="6">
      <t>ヨウザイ</t>
    </rPh>
    <phoneticPr fontId="1"/>
  </si>
  <si>
    <t>フラットベース</t>
    <phoneticPr fontId="1"/>
  </si>
  <si>
    <t>クリヤー</t>
    <phoneticPr fontId="1"/>
  </si>
  <si>
    <t>クリヤーブルー</t>
    <phoneticPr fontId="1"/>
  </si>
  <si>
    <t>クリヤーイエロー</t>
    <phoneticPr fontId="1"/>
  </si>
  <si>
    <t>クリヤーオレンジ</t>
    <phoneticPr fontId="1"/>
  </si>
  <si>
    <t>クリヤーレッド</t>
    <phoneticPr fontId="1"/>
  </si>
  <si>
    <t>パークグリーン</t>
    <phoneticPr fontId="1"/>
  </si>
  <si>
    <t>チタンゴールド</t>
    <phoneticPr fontId="1"/>
  </si>
  <si>
    <t>クリヤーグリーン</t>
    <phoneticPr fontId="1"/>
  </si>
  <si>
    <t>チタンシルバー</t>
    <phoneticPr fontId="1"/>
  </si>
  <si>
    <t>ブロンズ</t>
    <phoneticPr fontId="1"/>
  </si>
  <si>
    <t>メタリックブラウン</t>
    <phoneticPr fontId="1"/>
  </si>
  <si>
    <t>フラットブラック</t>
    <phoneticPr fontId="1"/>
  </si>
  <si>
    <t>フラットホワイト</t>
    <phoneticPr fontId="1"/>
  </si>
  <si>
    <t>フラットイエロー</t>
    <phoneticPr fontId="1"/>
  </si>
  <si>
    <t>イエローグリーン</t>
    <phoneticPr fontId="1"/>
  </si>
  <si>
    <t>フラットグリーン</t>
    <phoneticPr fontId="1"/>
  </si>
  <si>
    <t>コッパー</t>
    <phoneticPr fontId="1"/>
  </si>
  <si>
    <t>フラットレッド</t>
    <phoneticPr fontId="1"/>
  </si>
  <si>
    <t>フラットブルー</t>
    <phoneticPr fontId="1"/>
  </si>
  <si>
    <t>ハルレッド</t>
    <phoneticPr fontId="1"/>
  </si>
  <si>
    <t>フラットブラウン</t>
    <phoneticPr fontId="1"/>
  </si>
  <si>
    <t>暗緑色</t>
    <rPh sb="0" eb="3">
      <t>アンリョクショク</t>
    </rPh>
    <phoneticPr fontId="1"/>
  </si>
  <si>
    <t>明灰白色</t>
    <rPh sb="0" eb="4">
      <t>メイカイハクショク</t>
    </rPh>
    <phoneticPr fontId="1"/>
  </si>
  <si>
    <t>濃緑色</t>
    <rPh sb="0" eb="3">
      <t>ノウリョクショク</t>
    </rPh>
    <phoneticPr fontId="1"/>
  </si>
  <si>
    <t>明灰緑色</t>
    <rPh sb="0" eb="1">
      <t>メイ</t>
    </rPh>
    <rPh sb="1" eb="2">
      <t>ハイ</t>
    </rPh>
    <rPh sb="2" eb="4">
      <t>ミドリイロ</t>
    </rPh>
    <phoneticPr fontId="1"/>
  </si>
  <si>
    <t>フラットフレッシュ</t>
    <phoneticPr fontId="1"/>
  </si>
  <si>
    <t>フラットアルミ</t>
    <phoneticPr fontId="1"/>
  </si>
  <si>
    <t>シーブルー</t>
    <phoneticPr fontId="1"/>
  </si>
  <si>
    <t>ミディアムブルー</t>
    <phoneticPr fontId="1"/>
  </si>
  <si>
    <t>スカイ</t>
    <phoneticPr fontId="1"/>
  </si>
  <si>
    <t>ＲＬＭグレイ</t>
    <phoneticPr fontId="1"/>
  </si>
  <si>
    <t>ライトブルー</t>
    <phoneticPr fontId="1"/>
  </si>
  <si>
    <t>ダークグレイ</t>
    <phoneticPr fontId="1"/>
  </si>
  <si>
    <t>ライトシーグレイ</t>
    <phoneticPr fontId="1"/>
  </si>
  <si>
    <t>ディープグリーン</t>
    <phoneticPr fontId="1"/>
  </si>
  <si>
    <t>ブラックグリーン</t>
    <phoneticPr fontId="1"/>
  </si>
  <si>
    <t>ダークコッパー</t>
    <phoneticPr fontId="1"/>
  </si>
  <si>
    <t>カーキ</t>
    <phoneticPr fontId="1"/>
  </si>
  <si>
    <t>カーキドラブ</t>
    <phoneticPr fontId="1"/>
  </si>
  <si>
    <t>フラットーアース</t>
    <phoneticPr fontId="1"/>
  </si>
  <si>
    <t>ニュートラルグレイ</t>
    <phoneticPr fontId="1"/>
  </si>
  <si>
    <t>デッキタン</t>
    <phoneticPr fontId="1"/>
  </si>
  <si>
    <t>メタリックグレイ</t>
    <phoneticPr fontId="1"/>
  </si>
  <si>
    <t>バフ</t>
    <phoneticPr fontId="1"/>
  </si>
  <si>
    <t>オリーブグリーン</t>
    <phoneticPr fontId="1"/>
  </si>
  <si>
    <t>デザートイエロー</t>
    <phoneticPr fontId="1"/>
  </si>
  <si>
    <t>ダークイエロー</t>
    <phoneticPr fontId="1"/>
  </si>
  <si>
    <t>ダークグリーン</t>
    <phoneticPr fontId="1"/>
  </si>
  <si>
    <t>オリーブドラブ</t>
    <phoneticPr fontId="1"/>
  </si>
  <si>
    <t>ジャーマングレイ</t>
    <phoneticPr fontId="1"/>
  </si>
  <si>
    <t>レッドブラウン</t>
    <phoneticPr fontId="1"/>
  </si>
  <si>
    <t>フィールドグレイ</t>
    <phoneticPr fontId="1"/>
  </si>
  <si>
    <t>ライトグレイ</t>
    <phoneticPr fontId="1"/>
  </si>
  <si>
    <t>ＮＡＴＯグリーン</t>
    <phoneticPr fontId="1"/>
  </si>
  <si>
    <t>ＮＡＴＯブラック</t>
    <phoneticPr fontId="1"/>
  </si>
  <si>
    <t>ＮＡＴＯブラウン</t>
    <phoneticPr fontId="1"/>
  </si>
  <si>
    <t>暗緑色２</t>
    <rPh sb="0" eb="3">
      <t>アンリョクショク</t>
    </rPh>
    <phoneticPr fontId="1"/>
  </si>
  <si>
    <t>コックピット色（日本海軍）</t>
    <rPh sb="6" eb="7">
      <t>イロ</t>
    </rPh>
    <rPh sb="8" eb="12">
      <t>ニホンカイグン</t>
    </rPh>
    <phoneticPr fontId="1"/>
  </si>
  <si>
    <t>茶色（陸上自衛隊）</t>
    <rPh sb="0" eb="2">
      <t>チャイロ</t>
    </rPh>
    <rPh sb="3" eb="8">
      <t>リクジョウジエイタイ</t>
    </rPh>
    <phoneticPr fontId="1"/>
  </si>
  <si>
    <t>濃緑色（陸上自衛隊）</t>
    <rPh sb="0" eb="3">
      <t>ノウリョクショク</t>
    </rPh>
    <rPh sb="4" eb="9">
      <t>リクジョウジエイタイ</t>
    </rPh>
    <phoneticPr fontId="1"/>
  </si>
  <si>
    <t>ＯＤ色（陸上自衛隊）</t>
    <rPh sb="2" eb="3">
      <t>イロ</t>
    </rPh>
    <rPh sb="4" eb="9">
      <t>リクジョウジエイタイ</t>
    </rPh>
    <phoneticPr fontId="1"/>
  </si>
  <si>
    <t>呉海軍工廠グレイ（日本海軍）</t>
    <rPh sb="0" eb="1">
      <t>クレ</t>
    </rPh>
    <rPh sb="1" eb="5">
      <t>カイグンコウショウ</t>
    </rPh>
    <rPh sb="9" eb="13">
      <t>ニホンカイグン</t>
    </rPh>
    <phoneticPr fontId="1"/>
  </si>
  <si>
    <t>灰緑色（日本海軍）</t>
    <rPh sb="0" eb="1">
      <t>ハイ</t>
    </rPh>
    <rPh sb="1" eb="3">
      <t>リョクショク</t>
    </rPh>
    <rPh sb="4" eb="8">
      <t>ニホンカイグン</t>
    </rPh>
    <phoneticPr fontId="1"/>
  </si>
  <si>
    <t>佐世保海軍工廠グレイ（日本海軍）</t>
    <rPh sb="0" eb="7">
      <t>サセボカイグンコウショウ</t>
    </rPh>
    <rPh sb="11" eb="15">
      <t>ニホンカイグン</t>
    </rPh>
    <phoneticPr fontId="1"/>
  </si>
  <si>
    <t>ロイヤルライトグレイ</t>
    <phoneticPr fontId="1"/>
  </si>
  <si>
    <t>ダークグリーン（イギリス空軍）</t>
    <rPh sb="12" eb="14">
      <t>クウグン</t>
    </rPh>
    <phoneticPr fontId="1"/>
  </si>
  <si>
    <t>オーシャングレイ（イギリス空軍）</t>
    <rPh sb="13" eb="15">
      <t>クウグン</t>
    </rPh>
    <phoneticPr fontId="1"/>
  </si>
  <si>
    <t>木甲板色</t>
    <rPh sb="0" eb="4">
      <t>モクコウハンショク</t>
    </rPh>
    <phoneticPr fontId="1"/>
  </si>
  <si>
    <t>リノリウム甲板色</t>
    <phoneticPr fontId="1"/>
  </si>
  <si>
    <t>ダークアイアン（履帯色）</t>
    <rPh sb="8" eb="11">
      <t>リタイショク</t>
    </rPh>
    <phoneticPr fontId="1"/>
  </si>
  <si>
    <t>ラバーブラック</t>
    <phoneticPr fontId="1"/>
  </si>
  <si>
    <t>ミディアムシーグレイ（イギリス空軍）</t>
    <rPh sb="15" eb="17">
      <t>クウグン</t>
    </rPh>
    <phoneticPr fontId="1"/>
  </si>
  <si>
    <t>レッドブラウン（ドイツ陸軍）</t>
    <rPh sb="11" eb="13">
      <t>リクグン</t>
    </rPh>
    <phoneticPr fontId="1"/>
  </si>
  <si>
    <t>ダークグリーン２（ドイツ陸軍）</t>
    <rPh sb="12" eb="14">
      <t>リクグン</t>
    </rPh>
    <phoneticPr fontId="1"/>
  </si>
  <si>
    <t>ダークイエロー２（ドイツ陸軍）</t>
    <rPh sb="12" eb="14">
      <t>リクグン</t>
    </rPh>
    <phoneticPr fontId="1"/>
  </si>
  <si>
    <t>イエローブラウン（ＤＡＫ　１９４１～）</t>
    <phoneticPr fontId="1"/>
  </si>
  <si>
    <t>ライトブラウン（ＤＡＫ　１９４１～）</t>
    <phoneticPr fontId="1"/>
  </si>
  <si>
    <t>レッド</t>
    <phoneticPr fontId="1"/>
  </si>
  <si>
    <t>A</t>
    <phoneticPr fontId="1"/>
  </si>
  <si>
    <t>&amp;h00161923&amp;</t>
  </si>
  <si>
    <t>&amp;h00FFFFFF&amp;</t>
  </si>
  <si>
    <t>&amp;h00603614&amp;</t>
  </si>
  <si>
    <t>&amp;h00A24E00&amp;</t>
  </si>
  <si>
    <t>&amp;h00456B00&amp;</t>
  </si>
  <si>
    <t>&amp;h00016DED&amp;</t>
  </si>
  <si>
    <t>&amp;h001300E6&amp;</t>
  </si>
  <si>
    <t>&amp;h0000DEFF&amp;</t>
  </si>
  <si>
    <t>&amp;h002F3774&amp;</t>
  </si>
  <si>
    <t>&amp;h00D7D7D6&amp;</t>
  </si>
  <si>
    <t>&amp;h0001A7CD&amp;</t>
  </si>
  <si>
    <t>&amp;h00896100&amp;</t>
  </si>
  <si>
    <t>&amp;h00EAA600&amp;</t>
  </si>
  <si>
    <t>&amp;h002ABB72&amp;</t>
  </si>
  <si>
    <t>&amp;h008F4A57&amp;</t>
  </si>
  <si>
    <t>&amp;h00B284ED&amp;</t>
  </si>
  <si>
    <t>&amp;h00C8C8C7&amp;</t>
  </si>
  <si>
    <t>&amp;h0000E4FF&amp;</t>
  </si>
  <si>
    <t>&amp;h00419E00&amp;</t>
  </si>
  <si>
    <t>&amp;h00007EEF&amp;</t>
  </si>
  <si>
    <t>&amp;h003900E6&amp;</t>
  </si>
  <si>
    <t>&amp;h00449900&amp;</t>
  </si>
  <si>
    <t>&amp;h00A5CBDD&amp;</t>
  </si>
  <si>
    <t>&amp;h00CFDEDF&amp;</t>
  </si>
  <si>
    <t>&amp;h00747587&amp;</t>
  </si>
  <si>
    <t>&amp;h000956C0&amp;</t>
  </si>
  <si>
    <t>&amp;h0000E1FF&amp;</t>
  </si>
  <si>
    <t>&amp;h0024C3B9&amp;</t>
  </si>
  <si>
    <t>&amp;h0061845B&amp;</t>
  </si>
  <si>
    <t>&amp;h00274DC5&amp;</t>
  </si>
  <si>
    <t>&amp;h001D00E6&amp;</t>
  </si>
  <si>
    <t>&amp;h00956900&amp;</t>
  </si>
  <si>
    <t>&amp;h00312D61&amp;</t>
  </si>
  <si>
    <t>&amp;h0033394F&amp;</t>
  </si>
  <si>
    <t>&amp;h003A4700&amp;</t>
  </si>
  <si>
    <t>&amp;h00C2D2C9&amp;</t>
  </si>
  <si>
    <t>&amp;h00424507&amp;</t>
  </si>
  <si>
    <t>&amp;h00D8EBED&amp;</t>
  </si>
  <si>
    <t>&amp;h008FCDFA&amp;</t>
  </si>
  <si>
    <t>&amp;h00B8B8B7&amp;</t>
  </si>
  <si>
    <t>&amp;h00583A0F&amp;</t>
  </si>
  <si>
    <t>&amp;h00A07808&amp;</t>
  </si>
  <si>
    <t>&amp;h00C8D1C8&amp;</t>
  </si>
  <si>
    <t>&amp;h00B6BBAF&amp;</t>
  </si>
  <si>
    <t>&amp;h00CDF1E8&amp;</t>
  </si>
  <si>
    <t>&amp;h00676352&amp;</t>
  </si>
  <si>
    <t>&amp;h00DECC7E&amp;</t>
  </si>
  <si>
    <t>&amp;h0078682F&amp;</t>
  </si>
  <si>
    <t>&amp;h00A69B85&amp;</t>
    <phoneticPr fontId="1"/>
  </si>
  <si>
    <t>&amp;h00426412&amp;</t>
  </si>
  <si>
    <t>&amp;h00314700&amp;</t>
  </si>
  <si>
    <t>&amp;h006381A4&amp;</t>
  </si>
  <si>
    <t>&amp;h00348F9A&amp;</t>
  </si>
  <si>
    <t>&amp;h00A68215&amp;</t>
  </si>
  <si>
    <t>&amp;h005C5F57&amp;</t>
  </si>
  <si>
    <t>&amp;h00304899&amp;</t>
  </si>
  <si>
    <t>&amp;h008E8471&amp;</t>
  </si>
  <si>
    <t>&amp;h00B2B1AB&amp;</t>
  </si>
  <si>
    <t>&amp;h00A2BECB&amp;</t>
    <phoneticPr fontId="1"/>
  </si>
  <si>
    <t>&amp;h00717172&amp;</t>
  </si>
  <si>
    <t>&amp;h007BA8CB&amp;</t>
  </si>
  <si>
    <t>&amp;h00384923&amp;</t>
  </si>
  <si>
    <t>&amp;h0040B2C7&amp;</t>
  </si>
  <si>
    <t>&amp;h003C5A48&amp;</t>
  </si>
  <si>
    <t>&amp;h00776743&amp;</t>
  </si>
  <si>
    <t>&amp;h00283950&amp;</t>
  </si>
  <si>
    <t>&amp;h00766B3E&amp;</t>
  </si>
  <si>
    <t>&amp;h00766950&amp;</t>
  </si>
  <si>
    <t>&amp;h00314B6A&amp;</t>
  </si>
  <si>
    <t>&amp;h00385529&amp;</t>
  </si>
  <si>
    <t>&amp;h00344206&amp;</t>
  </si>
  <si>
    <t>&amp;h00759875&amp;</t>
  </si>
  <si>
    <t>&amp;h002E5C7F&amp;</t>
  </si>
  <si>
    <t>&amp;h003A6021&amp;</t>
  </si>
  <si>
    <t>&amp;h00857B71&amp;</t>
  </si>
  <si>
    <t>&amp;h00A7C3B9&amp;</t>
  </si>
  <si>
    <t>&amp;h00605753&amp;</t>
  </si>
  <si>
    <t>&amp;h0085AFBE&amp;</t>
  </si>
  <si>
    <t>&amp;h00334A5D&amp;</t>
  </si>
  <si>
    <t>&amp;h00C8CAC1&amp;</t>
  </si>
  <si>
    <t>&amp;h00335534&amp;</t>
  </si>
  <si>
    <t>&amp;h009A8D6B&amp;</t>
  </si>
  <si>
    <t>&amp;h00BABEAA&amp;</t>
  </si>
  <si>
    <t>&amp;h00334351&amp;</t>
  </si>
  <si>
    <t>フラットクリヤー</t>
    <phoneticPr fontId="1"/>
  </si>
  <si>
    <t>&amp;h0086807D&amp;</t>
  </si>
  <si>
    <t>&amp;h004BB3C8&amp;</t>
  </si>
  <si>
    <t>&amp;h00746A63&amp;</t>
  </si>
  <si>
    <t>&amp;h005082B1&amp;</t>
  </si>
  <si>
    <t>&amp;h006EB3E6&amp;</t>
  </si>
  <si>
    <t>項番</t>
    <rPh sb="0" eb="2">
      <t>コウバン</t>
    </rPh>
    <phoneticPr fontId="1"/>
  </si>
  <si>
    <t>色コード</t>
    <rPh sb="0" eb="1">
      <t>イロ</t>
    </rPh>
    <phoneticPr fontId="1"/>
  </si>
  <si>
    <t>色名称</t>
    <rPh sb="0" eb="1">
      <t>イロ</t>
    </rPh>
    <rPh sb="1" eb="3">
      <t>メイショウ</t>
    </rPh>
    <phoneticPr fontId="1"/>
  </si>
  <si>
    <t>RGB</t>
    <phoneticPr fontId="1"/>
  </si>
  <si>
    <t>G</t>
    <phoneticPr fontId="1"/>
  </si>
  <si>
    <t>B</t>
    <phoneticPr fontId="1"/>
  </si>
  <si>
    <t>色見本</t>
    <rPh sb="0" eb="3">
      <t>イロミホン</t>
    </rPh>
    <phoneticPr fontId="1"/>
  </si>
  <si>
    <t>&amp;h00575759&amp;</t>
  </si>
  <si>
    <t>✓</t>
    <phoneticPr fontId="1"/>
  </si>
  <si>
    <t>R</t>
    <phoneticPr fontId="1"/>
  </si>
  <si>
    <t>P</t>
    <phoneticPr fontId="1"/>
  </si>
  <si>
    <t>N</t>
    <phoneticPr fontId="1"/>
  </si>
  <si>
    <t>S</t>
    <phoneticPr fontId="1"/>
  </si>
  <si>
    <t>Ri</t>
    <phoneticPr fontId="1"/>
  </si>
  <si>
    <t>Gi</t>
    <phoneticPr fontId="1"/>
  </si>
  <si>
    <t>Bi</t>
    <phoneticPr fontId="1"/>
  </si>
  <si>
    <t>横須賀海軍工廠グレイ（日本海軍）</t>
    <rPh sb="0" eb="7">
      <t>ヨコスカカイグンコウショウ</t>
    </rPh>
    <rPh sb="11" eb="15">
      <t>ニホンカイグン</t>
    </rPh>
    <phoneticPr fontId="1"/>
  </si>
  <si>
    <t>舞鶴海軍工廠グレイ（日本海軍）</t>
    <rPh sb="0" eb="2">
      <t>マイヅル</t>
    </rPh>
    <rPh sb="2" eb="6">
      <t>カイグンコウショウ</t>
    </rPh>
    <rPh sb="10" eb="14">
      <t>ニホンカイグン</t>
    </rPh>
    <phoneticPr fontId="1"/>
  </si>
  <si>
    <t>セミグロスクリヤー</t>
    <phoneticPr fontId="1"/>
  </si>
  <si>
    <t>フィールドブルー</t>
    <phoneticPr fontId="1"/>
  </si>
  <si>
    <t>CL</t>
    <phoneticPr fontId="1"/>
  </si>
  <si>
    <t>CL</t>
    <phoneticPr fontId="1"/>
  </si>
  <si>
    <t>R</t>
    <phoneticPr fontId="1"/>
  </si>
  <si>
    <t>th</t>
    <phoneticPr fontId="1"/>
  </si>
  <si>
    <t>X</t>
    <phoneticPr fontId="1"/>
  </si>
  <si>
    <t>XF</t>
    <phoneticPr fontId="1"/>
  </si>
  <si>
    <t>M</t>
    <phoneticPr fontId="1"/>
  </si>
  <si>
    <t>スカイグレイ</t>
    <phoneticPr fontId="1"/>
  </si>
  <si>
    <t>ミディアムグレイ</t>
    <phoneticPr fontId="1"/>
  </si>
  <si>
    <t>ダークシーグレイ</t>
    <phoneticPr fontId="1"/>
  </si>
  <si>
    <t>M</t>
    <phoneticPr fontId="1"/>
  </si>
  <si>
    <t>割合</t>
    <rPh sb="0" eb="2">
      <t>ワリアイ</t>
    </rPh>
    <phoneticPr fontId="1"/>
  </si>
  <si>
    <t>Ci</t>
    <phoneticPr fontId="1"/>
  </si>
  <si>
    <t>Mi</t>
    <phoneticPr fontId="1"/>
  </si>
  <si>
    <t>Yi</t>
    <phoneticPr fontId="1"/>
  </si>
  <si>
    <t>Ki</t>
    <phoneticPr fontId="1"/>
  </si>
  <si>
    <t>Cid</t>
    <phoneticPr fontId="1"/>
  </si>
  <si>
    <t>Mid</t>
    <phoneticPr fontId="1"/>
  </si>
  <si>
    <t>Yid</t>
    <phoneticPr fontId="1"/>
  </si>
  <si>
    <t>Kid</t>
    <phoneticPr fontId="1"/>
  </si>
  <si>
    <t>&amp;h0086C6F2&amp;</t>
    <phoneticPr fontId="1"/>
  </si>
  <si>
    <t>✓</t>
    <phoneticPr fontId="1"/>
  </si>
  <si>
    <t>パープルグレイグレイバイオレット</t>
    <phoneticPr fontId="1"/>
  </si>
  <si>
    <t>グレイグリーン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</si>
</sst>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_ "/>
    <numFmt numFmtId="177" formatCode="0.000_);[Red]\(0.000\)"/>
  </numFmts>
  <fonts count="3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ＭＳ 明朝"/>
      <family val="1"/>
      <charset val="128"/>
    </font>
  </fonts>
  <fills count="96">
    <fill>
      <patternFill patternType="none"/>
    </fill>
    <fill>
      <patternFill patternType="gray125"/>
    </fill>
    <fill>
      <patternFill patternType="solid">
        <fgColor rgb="FF2319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43660"/>
        <bgColor indexed="64"/>
      </patternFill>
    </fill>
    <fill>
      <patternFill patternType="solid">
        <fgColor rgb="FF004EA2"/>
        <bgColor indexed="64"/>
      </patternFill>
    </fill>
    <fill>
      <patternFill patternType="solid">
        <fgColor rgb="FF006B45"/>
        <bgColor indexed="64"/>
      </patternFill>
    </fill>
    <fill>
      <patternFill patternType="solid">
        <fgColor rgb="FFED6D01"/>
        <bgColor indexed="64"/>
      </patternFill>
    </fill>
    <fill>
      <patternFill patternType="solid">
        <fgColor rgb="FFE60013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74372F"/>
        <bgColor indexed="64"/>
      </patternFill>
    </fill>
    <fill>
      <patternFill patternType="solid">
        <fgColor rgb="FFD6D7D7"/>
        <bgColor indexed="64"/>
      </patternFill>
    </fill>
    <fill>
      <patternFill patternType="solid">
        <fgColor rgb="FFCDA701"/>
        <bgColor indexed="64"/>
      </patternFill>
    </fill>
    <fill>
      <patternFill patternType="solid">
        <fgColor rgb="FF006189"/>
        <bgColor indexed="64"/>
      </patternFill>
    </fill>
    <fill>
      <patternFill patternType="solid">
        <fgColor rgb="FF00A6EA"/>
        <bgColor indexed="64"/>
      </patternFill>
    </fill>
    <fill>
      <patternFill patternType="solid">
        <fgColor rgb="FF72BB2A"/>
        <bgColor indexed="64"/>
      </patternFill>
    </fill>
    <fill>
      <patternFill patternType="solid">
        <fgColor rgb="FF574A8F"/>
        <bgColor indexed="64"/>
      </patternFill>
    </fill>
    <fill>
      <patternFill patternType="solid">
        <fgColor rgb="FFED84B2"/>
        <bgColor indexed="64"/>
      </patternFill>
    </fill>
    <fill>
      <patternFill patternType="solid">
        <fgColor rgb="FFC7C8C8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009E41"/>
        <bgColor indexed="64"/>
      </patternFill>
    </fill>
    <fill>
      <patternFill patternType="solid">
        <fgColor rgb="FFEF7E00"/>
        <bgColor indexed="64"/>
      </patternFill>
    </fill>
    <fill>
      <patternFill patternType="solid">
        <fgColor rgb="FFE60039"/>
        <bgColor indexed="64"/>
      </patternFill>
    </fill>
    <fill>
      <patternFill patternType="solid">
        <fgColor rgb="FF009944"/>
        <bgColor indexed="64"/>
      </patternFill>
    </fill>
    <fill>
      <patternFill patternType="solid">
        <fgColor rgb="FFDDCBA5"/>
        <bgColor indexed="64"/>
      </patternFill>
    </fill>
    <fill>
      <patternFill patternType="solid">
        <fgColor rgb="FFDFDECF"/>
        <bgColor indexed="64"/>
      </patternFill>
    </fill>
    <fill>
      <patternFill patternType="solid">
        <fgColor rgb="FF877574"/>
        <bgColor indexed="64"/>
      </patternFill>
    </fill>
    <fill>
      <patternFill patternType="solid">
        <fgColor rgb="FFC05609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B9C324"/>
        <bgColor indexed="64"/>
      </patternFill>
    </fill>
    <fill>
      <patternFill patternType="solid">
        <fgColor rgb="FF5B8461"/>
        <bgColor indexed="64"/>
      </patternFill>
    </fill>
    <fill>
      <patternFill patternType="solid">
        <fgColor rgb="FFC54D27"/>
        <bgColor indexed="64"/>
      </patternFill>
    </fill>
    <fill>
      <patternFill patternType="solid">
        <fgColor rgb="FFE6001D"/>
        <bgColor indexed="64"/>
      </patternFill>
    </fill>
    <fill>
      <patternFill patternType="solid">
        <fgColor rgb="FF006995"/>
        <bgColor indexed="64"/>
      </patternFill>
    </fill>
    <fill>
      <patternFill patternType="solid">
        <fgColor rgb="FF612D31"/>
        <bgColor indexed="64"/>
      </patternFill>
    </fill>
    <fill>
      <patternFill patternType="solid">
        <fgColor rgb="FF4F3933"/>
        <bgColor indexed="64"/>
      </patternFill>
    </fill>
    <fill>
      <patternFill patternType="solid">
        <fgColor rgb="FF00473A"/>
        <bgColor indexed="64"/>
      </patternFill>
    </fill>
    <fill>
      <patternFill patternType="solid">
        <fgColor rgb="FFC9D2C2"/>
        <bgColor indexed="64"/>
      </patternFill>
    </fill>
    <fill>
      <patternFill patternType="solid">
        <fgColor rgb="FF074542"/>
        <bgColor indexed="64"/>
      </patternFill>
    </fill>
    <fill>
      <patternFill patternType="solid">
        <fgColor rgb="FFEDEBD8"/>
        <bgColor indexed="64"/>
      </patternFill>
    </fill>
    <fill>
      <patternFill patternType="solid">
        <fgColor rgb="FFFACD8F"/>
        <bgColor indexed="64"/>
      </patternFill>
    </fill>
    <fill>
      <patternFill patternType="solid">
        <fgColor rgb="FFB7B8B8"/>
        <bgColor indexed="64"/>
      </patternFill>
    </fill>
    <fill>
      <patternFill patternType="solid">
        <fgColor rgb="FF0F3A58"/>
        <bgColor indexed="64"/>
      </patternFill>
    </fill>
    <fill>
      <patternFill patternType="solid">
        <fgColor rgb="FF0878A0"/>
        <bgColor indexed="64"/>
      </patternFill>
    </fill>
    <fill>
      <patternFill patternType="solid">
        <fgColor rgb="FFC8D1C8"/>
        <bgColor indexed="64"/>
      </patternFill>
    </fill>
    <fill>
      <patternFill patternType="solid">
        <fgColor rgb="FFAFBBB6"/>
        <bgColor indexed="64"/>
      </patternFill>
    </fill>
    <fill>
      <patternFill patternType="solid">
        <fgColor rgb="FFE8F1CD"/>
        <bgColor indexed="64"/>
      </patternFill>
    </fill>
    <fill>
      <patternFill patternType="solid">
        <fgColor rgb="FF526367"/>
        <bgColor indexed="64"/>
      </patternFill>
    </fill>
    <fill>
      <patternFill patternType="solid">
        <fgColor rgb="FF7ECCDE"/>
        <bgColor indexed="64"/>
      </patternFill>
    </fill>
    <fill>
      <patternFill patternType="solid">
        <fgColor rgb="FF2F6878"/>
        <bgColor indexed="64"/>
      </patternFill>
    </fill>
    <fill>
      <patternFill patternType="solid">
        <fgColor rgb="FF859BA6"/>
        <bgColor indexed="64"/>
      </patternFill>
    </fill>
    <fill>
      <patternFill patternType="solid">
        <fgColor rgb="FF126442"/>
        <bgColor indexed="64"/>
      </patternFill>
    </fill>
    <fill>
      <patternFill patternType="solid">
        <fgColor rgb="FF004731"/>
        <bgColor indexed="64"/>
      </patternFill>
    </fill>
    <fill>
      <patternFill patternType="solid">
        <fgColor rgb="FFA48163"/>
        <bgColor indexed="64"/>
      </patternFill>
    </fill>
    <fill>
      <patternFill patternType="solid">
        <fgColor rgb="FF9A8F34"/>
        <bgColor indexed="64"/>
      </patternFill>
    </fill>
    <fill>
      <patternFill patternType="solid">
        <fgColor rgb="FF1582A6"/>
        <bgColor indexed="64"/>
      </patternFill>
    </fill>
    <fill>
      <patternFill patternType="solid">
        <fgColor rgb="FF575F5C"/>
        <bgColor indexed="64"/>
      </patternFill>
    </fill>
    <fill>
      <patternFill patternType="solid">
        <fgColor rgb="FF994830"/>
        <bgColor indexed="64"/>
      </patternFill>
    </fill>
    <fill>
      <patternFill patternType="solid">
        <fgColor rgb="FF71848E"/>
        <bgColor indexed="64"/>
      </patternFill>
    </fill>
    <fill>
      <patternFill patternType="solid">
        <fgColor rgb="FFABB1B2"/>
        <bgColor indexed="64"/>
      </patternFill>
    </fill>
    <fill>
      <patternFill patternType="solid">
        <fgColor rgb="FFCBBEA2"/>
        <bgColor indexed="64"/>
      </patternFill>
    </fill>
    <fill>
      <patternFill patternType="solid">
        <fgColor rgb="FF727171"/>
        <bgColor indexed="64"/>
      </patternFill>
    </fill>
    <fill>
      <patternFill patternType="solid">
        <fgColor rgb="FFCBA87B"/>
        <bgColor indexed="64"/>
      </patternFill>
    </fill>
    <fill>
      <patternFill patternType="solid">
        <fgColor rgb="FF234938"/>
        <bgColor indexed="64"/>
      </patternFill>
    </fill>
    <fill>
      <patternFill patternType="solid">
        <fgColor rgb="FFF2C686"/>
        <bgColor indexed="64"/>
      </patternFill>
    </fill>
    <fill>
      <patternFill patternType="solid">
        <fgColor rgb="FFC7B240"/>
        <bgColor indexed="64"/>
      </patternFill>
    </fill>
    <fill>
      <patternFill patternType="solid">
        <fgColor rgb="FF485A3C"/>
        <bgColor indexed="64"/>
      </patternFill>
    </fill>
    <fill>
      <patternFill patternType="solid">
        <fgColor rgb="FF436777"/>
        <bgColor indexed="64"/>
      </patternFill>
    </fill>
    <fill>
      <patternFill patternType="solid">
        <fgColor rgb="FF503928"/>
        <bgColor indexed="64"/>
      </patternFill>
    </fill>
    <fill>
      <patternFill patternType="solid">
        <fgColor rgb="FF3E6B76"/>
        <bgColor indexed="64"/>
      </patternFill>
    </fill>
    <fill>
      <patternFill patternType="solid">
        <fgColor rgb="FF506976"/>
        <bgColor indexed="64"/>
      </patternFill>
    </fill>
    <fill>
      <patternFill patternType="solid">
        <fgColor rgb="FF295538"/>
        <bgColor indexed="64"/>
      </patternFill>
    </fill>
    <fill>
      <patternFill patternType="solid">
        <fgColor rgb="FF6A4B31"/>
        <bgColor indexed="64"/>
      </patternFill>
    </fill>
    <fill>
      <patternFill patternType="solid">
        <fgColor rgb="FF064234"/>
        <bgColor indexed="64"/>
      </patternFill>
    </fill>
    <fill>
      <patternFill patternType="solid">
        <fgColor rgb="FF759875"/>
        <bgColor indexed="64"/>
      </patternFill>
    </fill>
    <fill>
      <patternFill patternType="solid">
        <fgColor rgb="FF7F5C2E"/>
        <bgColor indexed="64"/>
      </patternFill>
    </fill>
    <fill>
      <patternFill patternType="solid">
        <fgColor rgb="FF21603A"/>
        <bgColor indexed="64"/>
      </patternFill>
    </fill>
    <fill>
      <patternFill patternType="solid">
        <fgColor rgb="FF717B85"/>
        <bgColor indexed="64"/>
      </patternFill>
    </fill>
    <fill>
      <patternFill patternType="solid">
        <fgColor rgb="FFB9C3A7"/>
        <bgColor indexed="64"/>
      </patternFill>
    </fill>
    <fill>
      <patternFill patternType="solid">
        <fgColor rgb="FF535760"/>
        <bgColor indexed="64"/>
      </patternFill>
    </fill>
    <fill>
      <patternFill patternType="solid">
        <fgColor rgb="FFBEAF85"/>
        <bgColor indexed="64"/>
      </patternFill>
    </fill>
    <fill>
      <patternFill patternType="solid">
        <fgColor rgb="FF5D4A33"/>
        <bgColor indexed="64"/>
      </patternFill>
    </fill>
    <fill>
      <patternFill patternType="solid">
        <fgColor rgb="FFC1CAC8"/>
        <bgColor indexed="64"/>
      </patternFill>
    </fill>
    <fill>
      <patternFill patternType="solid">
        <fgColor rgb="FF345533"/>
        <bgColor indexed="64"/>
      </patternFill>
    </fill>
    <fill>
      <patternFill patternType="solid">
        <fgColor rgb="FF6B8D9A"/>
        <bgColor indexed="64"/>
      </patternFill>
    </fill>
    <fill>
      <patternFill patternType="solid">
        <fgColor rgb="FFAABEBA"/>
        <bgColor indexed="64"/>
      </patternFill>
    </fill>
    <fill>
      <patternFill patternType="solid">
        <fgColor rgb="FF514333"/>
        <bgColor indexed="64"/>
      </patternFill>
    </fill>
    <fill>
      <patternFill patternType="solid">
        <fgColor rgb="FF7D8086"/>
        <bgColor indexed="64"/>
      </patternFill>
    </fill>
    <fill>
      <patternFill patternType="solid">
        <fgColor rgb="FFC8B34B"/>
        <bgColor indexed="64"/>
      </patternFill>
    </fill>
    <fill>
      <patternFill patternType="solid">
        <fgColor rgb="FF636A74"/>
        <bgColor indexed="64"/>
      </patternFill>
    </fill>
    <fill>
      <patternFill patternType="solid">
        <fgColor rgb="FFB18250"/>
        <bgColor indexed="64"/>
      </patternFill>
    </fill>
    <fill>
      <patternFill patternType="solid">
        <fgColor rgb="FFE6B36E"/>
        <bgColor indexed="64"/>
      </patternFill>
    </fill>
    <fill>
      <patternFill patternType="solid">
        <fgColor rgb="FF59575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C9DA3"/>
        <bgColor indexed="64"/>
      </patternFill>
    </fill>
    <fill>
      <patternFill patternType="solid">
        <fgColor rgb="FF08503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2" borderId="0" xfId="0" applyFont="1" applyFill="1" applyBorder="1">
      <alignment vertical="center"/>
    </xf>
    <xf numFmtId="176" fontId="2" fillId="0" borderId="0" xfId="0" applyNumberFormat="1" applyFont="1">
      <alignment vertical="center"/>
    </xf>
    <xf numFmtId="0" fontId="2" fillId="3" borderId="0" xfId="0" applyFont="1" applyFill="1" applyBorder="1">
      <alignment vertical="center"/>
    </xf>
    <xf numFmtId="0" fontId="2" fillId="4" borderId="0" xfId="0" applyFont="1" applyFill="1" applyBorder="1">
      <alignment vertical="center"/>
    </xf>
    <xf numFmtId="0" fontId="2" fillId="5" borderId="0" xfId="0" applyFont="1" applyFill="1" applyBorder="1">
      <alignment vertical="center"/>
    </xf>
    <xf numFmtId="0" fontId="2" fillId="6" borderId="0" xfId="0" applyFont="1" applyFill="1" applyBorder="1">
      <alignment vertical="center"/>
    </xf>
    <xf numFmtId="0" fontId="2" fillId="7" borderId="0" xfId="0" applyFont="1" applyFill="1" applyBorder="1">
      <alignment vertical="center"/>
    </xf>
    <xf numFmtId="0" fontId="2" fillId="8" borderId="0" xfId="0" applyFont="1" applyFill="1" applyBorder="1">
      <alignment vertical="center"/>
    </xf>
    <xf numFmtId="0" fontId="2" fillId="9" borderId="0" xfId="0" applyFont="1" applyFill="1" applyBorder="1">
      <alignment vertical="center"/>
    </xf>
    <xf numFmtId="0" fontId="2" fillId="10" borderId="0" xfId="0" applyFont="1" applyFill="1" applyBorder="1">
      <alignment vertical="center"/>
    </xf>
    <xf numFmtId="0" fontId="2" fillId="92" borderId="0" xfId="0" applyFont="1" applyFill="1" applyBorder="1">
      <alignment vertical="center"/>
    </xf>
    <xf numFmtId="0" fontId="2" fillId="11" borderId="0" xfId="0" applyFont="1" applyFill="1" applyBorder="1">
      <alignment vertical="center"/>
    </xf>
    <xf numFmtId="0" fontId="2" fillId="12" borderId="0" xfId="0" applyFont="1" applyFill="1" applyBorder="1">
      <alignment vertical="center"/>
    </xf>
    <xf numFmtId="0" fontId="2" fillId="13" borderId="0" xfId="0" applyFont="1" applyFill="1" applyBorder="1">
      <alignment vertical="center"/>
    </xf>
    <xf numFmtId="0" fontId="2" fillId="14" borderId="0" xfId="0" applyFont="1" applyFill="1" applyBorder="1">
      <alignment vertical="center"/>
    </xf>
    <xf numFmtId="0" fontId="2" fillId="15" borderId="0" xfId="0" applyFont="1" applyFill="1" applyBorder="1">
      <alignment vertical="center"/>
    </xf>
    <xf numFmtId="0" fontId="2" fillId="16" borderId="0" xfId="0" applyFont="1" applyFill="1" applyBorder="1">
      <alignment vertical="center"/>
    </xf>
    <xf numFmtId="0" fontId="2" fillId="17" borderId="0" xfId="0" applyFont="1" applyFill="1" applyBorder="1">
      <alignment vertical="center"/>
    </xf>
    <xf numFmtId="0" fontId="2" fillId="18" borderId="0" xfId="0" applyFont="1" applyFill="1" applyBorder="1">
      <alignment vertical="center"/>
    </xf>
    <xf numFmtId="0" fontId="2" fillId="19" borderId="0" xfId="0" applyFont="1" applyFill="1" applyBorder="1">
      <alignment vertical="center"/>
    </xf>
    <xf numFmtId="0" fontId="2" fillId="20" borderId="0" xfId="0" applyFont="1" applyFill="1" applyBorder="1">
      <alignment vertical="center"/>
    </xf>
    <xf numFmtId="0" fontId="2" fillId="21" borderId="0" xfId="0" applyFont="1" applyFill="1" applyBorder="1">
      <alignment vertical="center"/>
    </xf>
    <xf numFmtId="0" fontId="2" fillId="22" borderId="0" xfId="0" applyFont="1" applyFill="1" applyBorder="1">
      <alignment vertical="center"/>
    </xf>
    <xf numFmtId="0" fontId="2" fillId="23" borderId="0" xfId="0" applyFont="1" applyFill="1" applyBorder="1">
      <alignment vertical="center"/>
    </xf>
    <xf numFmtId="0" fontId="2" fillId="24" borderId="0" xfId="0" applyFont="1" applyFill="1" applyBorder="1">
      <alignment vertical="center"/>
    </xf>
    <xf numFmtId="0" fontId="2" fillId="25" borderId="0" xfId="0" applyFont="1" applyFill="1" applyBorder="1">
      <alignment vertical="center"/>
    </xf>
    <xf numFmtId="0" fontId="2" fillId="26" borderId="0" xfId="0" applyFont="1" applyFill="1" applyBorder="1">
      <alignment vertical="center"/>
    </xf>
    <xf numFmtId="0" fontId="2" fillId="27" borderId="0" xfId="0" applyFont="1" applyFill="1" applyBorder="1">
      <alignment vertical="center"/>
    </xf>
    <xf numFmtId="0" fontId="2" fillId="28" borderId="0" xfId="0" applyFont="1" applyFill="1" applyBorder="1">
      <alignment vertical="center"/>
    </xf>
    <xf numFmtId="0" fontId="2" fillId="29" borderId="0" xfId="0" applyFont="1" applyFill="1" applyBorder="1">
      <alignment vertical="center"/>
    </xf>
    <xf numFmtId="0" fontId="2" fillId="30" borderId="0" xfId="0" applyFont="1" applyFill="1" applyBorder="1">
      <alignment vertical="center"/>
    </xf>
    <xf numFmtId="0" fontId="2" fillId="31" borderId="0" xfId="0" applyFont="1" applyFill="1" applyBorder="1">
      <alignment vertical="center"/>
    </xf>
    <xf numFmtId="0" fontId="2" fillId="32" borderId="0" xfId="0" applyFont="1" applyFill="1" applyBorder="1">
      <alignment vertical="center"/>
    </xf>
    <xf numFmtId="0" fontId="2" fillId="33" borderId="0" xfId="0" applyFont="1" applyFill="1" applyBorder="1">
      <alignment vertical="center"/>
    </xf>
    <xf numFmtId="0" fontId="2" fillId="34" borderId="0" xfId="0" applyFont="1" applyFill="1" applyBorder="1">
      <alignment vertical="center"/>
    </xf>
    <xf numFmtId="0" fontId="2" fillId="35" borderId="0" xfId="0" applyFont="1" applyFill="1" applyBorder="1">
      <alignment vertical="center"/>
    </xf>
    <xf numFmtId="0" fontId="2" fillId="36" borderId="0" xfId="0" applyFont="1" applyFill="1" applyBorder="1">
      <alignment vertical="center"/>
    </xf>
    <xf numFmtId="0" fontId="2" fillId="37" borderId="0" xfId="0" applyFont="1" applyFill="1" applyBorder="1">
      <alignment vertical="center"/>
    </xf>
    <xf numFmtId="0" fontId="2" fillId="38" borderId="0" xfId="0" applyFont="1" applyFill="1" applyBorder="1">
      <alignment vertical="center"/>
    </xf>
    <xf numFmtId="0" fontId="2" fillId="39" borderId="0" xfId="0" applyFont="1" applyFill="1" applyBorder="1">
      <alignment vertical="center"/>
    </xf>
    <xf numFmtId="0" fontId="2" fillId="40" borderId="0" xfId="0" applyFont="1" applyFill="1" applyBorder="1">
      <alignment vertical="center"/>
    </xf>
    <xf numFmtId="0" fontId="2" fillId="41" borderId="0" xfId="0" applyFont="1" applyFill="1" applyBorder="1">
      <alignment vertical="center"/>
    </xf>
    <xf numFmtId="0" fontId="2" fillId="42" borderId="0" xfId="0" applyFont="1" applyFill="1" applyBorder="1">
      <alignment vertical="center"/>
    </xf>
    <xf numFmtId="0" fontId="2" fillId="43" borderId="0" xfId="0" applyFont="1" applyFill="1" applyBorder="1">
      <alignment vertical="center"/>
    </xf>
    <xf numFmtId="0" fontId="2" fillId="44" borderId="0" xfId="0" applyFont="1" applyFill="1" applyBorder="1">
      <alignment vertical="center"/>
    </xf>
    <xf numFmtId="0" fontId="2" fillId="45" borderId="0" xfId="0" applyFont="1" applyFill="1" applyBorder="1">
      <alignment vertical="center"/>
    </xf>
    <xf numFmtId="0" fontId="2" fillId="46" borderId="0" xfId="0" applyFont="1" applyFill="1" applyBorder="1">
      <alignment vertical="center"/>
    </xf>
    <xf numFmtId="0" fontId="2" fillId="47" borderId="0" xfId="0" applyFont="1" applyFill="1" applyBorder="1">
      <alignment vertical="center"/>
    </xf>
    <xf numFmtId="0" fontId="2" fillId="48" borderId="0" xfId="0" applyFont="1" applyFill="1" applyBorder="1">
      <alignment vertical="center"/>
    </xf>
    <xf numFmtId="0" fontId="2" fillId="49" borderId="0" xfId="0" applyFont="1" applyFill="1" applyBorder="1">
      <alignment vertical="center"/>
    </xf>
    <xf numFmtId="0" fontId="2" fillId="50" borderId="0" xfId="0" applyFont="1" applyFill="1" applyBorder="1">
      <alignment vertical="center"/>
    </xf>
    <xf numFmtId="0" fontId="2" fillId="51" borderId="0" xfId="0" applyFont="1" applyFill="1" applyBorder="1">
      <alignment vertical="center"/>
    </xf>
    <xf numFmtId="0" fontId="2" fillId="52" borderId="0" xfId="0" applyFont="1" applyFill="1" applyBorder="1">
      <alignment vertical="center"/>
    </xf>
    <xf numFmtId="0" fontId="2" fillId="53" borderId="0" xfId="0" applyFont="1" applyFill="1" applyBorder="1">
      <alignment vertical="center"/>
    </xf>
    <xf numFmtId="0" fontId="2" fillId="54" borderId="0" xfId="0" applyFont="1" applyFill="1" applyBorder="1">
      <alignment vertical="center"/>
    </xf>
    <xf numFmtId="0" fontId="2" fillId="55" borderId="0" xfId="0" applyFont="1" applyFill="1" applyBorder="1">
      <alignment vertical="center"/>
    </xf>
    <xf numFmtId="0" fontId="2" fillId="56" borderId="0" xfId="0" applyFont="1" applyFill="1" applyBorder="1">
      <alignment vertical="center"/>
    </xf>
    <xf numFmtId="0" fontId="2" fillId="57" borderId="0" xfId="0" applyFont="1" applyFill="1" applyBorder="1">
      <alignment vertical="center"/>
    </xf>
    <xf numFmtId="0" fontId="2" fillId="58" borderId="0" xfId="0" applyFont="1" applyFill="1" applyBorder="1">
      <alignment vertical="center"/>
    </xf>
    <xf numFmtId="0" fontId="2" fillId="59" borderId="0" xfId="0" applyFont="1" applyFill="1" applyBorder="1">
      <alignment vertical="center"/>
    </xf>
    <xf numFmtId="0" fontId="2" fillId="60" borderId="0" xfId="0" applyFont="1" applyFill="1" applyBorder="1">
      <alignment vertical="center"/>
    </xf>
    <xf numFmtId="0" fontId="2" fillId="61" borderId="0" xfId="0" applyFont="1" applyFill="1" applyBorder="1">
      <alignment vertical="center"/>
    </xf>
    <xf numFmtId="0" fontId="2" fillId="62" borderId="0" xfId="0" applyFont="1" applyFill="1" applyBorder="1">
      <alignment vertical="center"/>
    </xf>
    <xf numFmtId="0" fontId="2" fillId="63" borderId="0" xfId="0" applyFont="1" applyFill="1" applyBorder="1">
      <alignment vertical="center"/>
    </xf>
    <xf numFmtId="0" fontId="2" fillId="64" borderId="0" xfId="0" applyFont="1" applyFill="1" applyBorder="1">
      <alignment vertical="center"/>
    </xf>
    <xf numFmtId="0" fontId="2" fillId="65" borderId="0" xfId="0" applyFont="1" applyFill="1" applyBorder="1">
      <alignment vertical="center"/>
    </xf>
    <xf numFmtId="0" fontId="2" fillId="66" borderId="0" xfId="0" applyFont="1" applyFill="1" applyBorder="1">
      <alignment vertical="center"/>
    </xf>
    <xf numFmtId="0" fontId="2" fillId="67" borderId="0" xfId="0" applyFont="1" applyFill="1" applyBorder="1">
      <alignment vertical="center"/>
    </xf>
    <xf numFmtId="0" fontId="2" fillId="68" borderId="0" xfId="0" applyFont="1" applyFill="1" applyBorder="1">
      <alignment vertical="center"/>
    </xf>
    <xf numFmtId="0" fontId="2" fillId="69" borderId="0" xfId="0" applyFont="1" applyFill="1" applyBorder="1">
      <alignment vertical="center"/>
    </xf>
    <xf numFmtId="0" fontId="2" fillId="70" borderId="0" xfId="0" applyFont="1" applyFill="1" applyBorder="1">
      <alignment vertical="center"/>
    </xf>
    <xf numFmtId="0" fontId="2" fillId="71" borderId="0" xfId="0" applyFont="1" applyFill="1" applyBorder="1">
      <alignment vertical="center"/>
    </xf>
    <xf numFmtId="0" fontId="2" fillId="72" borderId="0" xfId="0" applyFont="1" applyFill="1" applyBorder="1">
      <alignment vertical="center"/>
    </xf>
    <xf numFmtId="0" fontId="2" fillId="73" borderId="0" xfId="0" applyFont="1" applyFill="1" applyBorder="1">
      <alignment vertical="center"/>
    </xf>
    <xf numFmtId="0" fontId="2" fillId="74" borderId="0" xfId="0" applyFont="1" applyFill="1" applyBorder="1">
      <alignment vertical="center"/>
    </xf>
    <xf numFmtId="0" fontId="2" fillId="75" borderId="0" xfId="0" applyFont="1" applyFill="1" applyBorder="1">
      <alignment vertical="center"/>
    </xf>
    <xf numFmtId="0" fontId="2" fillId="76" borderId="0" xfId="0" applyFont="1" applyFill="1" applyBorder="1">
      <alignment vertical="center"/>
    </xf>
    <xf numFmtId="0" fontId="2" fillId="77" borderId="0" xfId="0" applyFont="1" applyFill="1" applyBorder="1">
      <alignment vertical="center"/>
    </xf>
    <xf numFmtId="0" fontId="2" fillId="78" borderId="0" xfId="0" applyFont="1" applyFill="1" applyBorder="1">
      <alignment vertical="center"/>
    </xf>
    <xf numFmtId="0" fontId="2" fillId="79" borderId="0" xfId="0" applyFont="1" applyFill="1" applyBorder="1">
      <alignment vertical="center"/>
    </xf>
    <xf numFmtId="0" fontId="2" fillId="80" borderId="0" xfId="0" applyFont="1" applyFill="1" applyBorder="1">
      <alignment vertical="center"/>
    </xf>
    <xf numFmtId="0" fontId="2" fillId="81" borderId="0" xfId="0" applyFont="1" applyFill="1" applyBorder="1">
      <alignment vertical="center"/>
    </xf>
    <xf numFmtId="0" fontId="2" fillId="82" borderId="0" xfId="0" applyFont="1" applyFill="1" applyBorder="1">
      <alignment vertical="center"/>
    </xf>
    <xf numFmtId="0" fontId="2" fillId="83" borderId="0" xfId="0" applyFont="1" applyFill="1" applyBorder="1">
      <alignment vertical="center"/>
    </xf>
    <xf numFmtId="0" fontId="2" fillId="84" borderId="0" xfId="0" applyFont="1" applyFill="1" applyBorder="1">
      <alignment vertical="center"/>
    </xf>
    <xf numFmtId="0" fontId="2" fillId="85" borderId="0" xfId="0" applyFont="1" applyFill="1" applyBorder="1">
      <alignment vertical="center"/>
    </xf>
    <xf numFmtId="0" fontId="2" fillId="86" borderId="0" xfId="0" applyFont="1" applyFill="1" applyBorder="1">
      <alignment vertical="center"/>
    </xf>
    <xf numFmtId="0" fontId="2" fillId="87" borderId="0" xfId="0" applyFont="1" applyFill="1" applyBorder="1">
      <alignment vertical="center"/>
    </xf>
    <xf numFmtId="0" fontId="2" fillId="88" borderId="0" xfId="0" applyFont="1" applyFill="1" applyBorder="1">
      <alignment vertical="center"/>
    </xf>
    <xf numFmtId="0" fontId="2" fillId="89" borderId="0" xfId="0" applyFont="1" applyFill="1" applyBorder="1">
      <alignment vertical="center"/>
    </xf>
    <xf numFmtId="0" fontId="2" fillId="90" borderId="0" xfId="0" applyFont="1" applyFill="1" applyBorder="1">
      <alignment vertical="center"/>
    </xf>
    <xf numFmtId="0" fontId="2" fillId="91" borderId="0" xfId="0" applyFont="1" applyFill="1" applyBorder="1">
      <alignment vertical="center"/>
    </xf>
    <xf numFmtId="0" fontId="2" fillId="0" borderId="0" xfId="0" applyFont="1" applyBorder="1">
      <alignment vertical="center"/>
    </xf>
    <xf numFmtId="0" fontId="2" fillId="0" borderId="0" xfId="0" applyFont="1" applyFill="1" applyAlignment="1">
      <alignment horizontal="center" vertical="center"/>
    </xf>
    <xf numFmtId="177" fontId="2" fillId="0" borderId="0" xfId="0" applyNumberFormat="1" applyFont="1">
      <alignment vertical="center"/>
    </xf>
    <xf numFmtId="0" fontId="2" fillId="0" borderId="0" xfId="0" applyFont="1" applyFill="1" applyBorder="1">
      <alignment vertical="center"/>
    </xf>
    <xf numFmtId="0" fontId="2" fillId="93" borderId="0" xfId="0" applyFont="1" applyFill="1" applyAlignment="1">
      <alignment horizontal="center" vertical="center"/>
    </xf>
    <xf numFmtId="0" fontId="2" fillId="93" borderId="0" xfId="0" applyFont="1" applyFill="1" applyAlignment="1">
      <alignment horizontal="centerContinuous" vertical="center"/>
    </xf>
    <xf numFmtId="0" fontId="2" fillId="93" borderId="0" xfId="0" applyFont="1" applyFill="1" applyBorder="1" applyAlignment="1">
      <alignment horizontal="center" vertical="center"/>
    </xf>
    <xf numFmtId="176" fontId="2" fillId="93" borderId="0" xfId="0" applyNumberFormat="1" applyFont="1" applyFill="1" applyAlignment="1">
      <alignment horizontal="center" vertical="center"/>
    </xf>
    <xf numFmtId="177" fontId="2" fillId="93" borderId="0" xfId="0" applyNumberFormat="1" applyFont="1" applyFill="1" applyAlignment="1">
      <alignment horizontal="center" vertical="center"/>
    </xf>
    <xf numFmtId="0" fontId="2" fillId="94" borderId="0" xfId="0" applyFont="1" applyFill="1" applyBorder="1">
      <alignment vertical="center"/>
    </xf>
    <xf numFmtId="0" fontId="2" fillId="95" borderId="0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66"/>
      <color rgb="FF456B00"/>
      <color rgb="FF450000"/>
      <color rgb="FF2ABB72"/>
      <color rgb="FF191923"/>
      <color rgb="FF191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FF"/>
  </sheetPr>
  <dimension ref="A1:Y109"/>
  <sheetViews>
    <sheetView tabSelected="1" zoomScale="130" zoomScaleNormal="130" workbookViewId="0">
      <pane xSplit="4" ySplit="2" topLeftCell="E3" activePane="bottomRight" state="frozen"/>
      <selection pane="topRight" activeCell="E1" sqref="E1"/>
      <selection pane="bottomLeft" activeCell="A2" sqref="A2"/>
      <selection pane="bottomRight" activeCell="J3" sqref="J3"/>
    </sheetView>
  </sheetViews>
  <sheetFormatPr defaultRowHeight="25.5" customHeight="1" x14ac:dyDescent="0.15"/>
  <cols>
    <col min="1" max="1" width="9.5" style="1" bestFit="1" customWidth="1"/>
    <col min="2" max="3" width="6.5" style="1" hidden="1" customWidth="1"/>
    <col min="4" max="4" width="6.5" style="2" hidden="1" customWidth="1"/>
    <col min="5" max="5" width="6.5" style="1" bestFit="1" customWidth="1"/>
    <col min="6" max="6" width="7.5" style="1" bestFit="1" customWidth="1"/>
    <col min="7" max="7" width="9.5" style="1" bestFit="1" customWidth="1"/>
    <col min="8" max="8" width="42.75" style="2" bestFit="1" customWidth="1"/>
    <col min="9" max="9" width="11.5" style="95" bestFit="1" customWidth="1"/>
    <col min="10" max="10" width="9.5" style="98" bestFit="1" customWidth="1"/>
    <col min="11" max="11" width="12.75" style="1" hidden="1" customWidth="1"/>
    <col min="12" max="14" width="6.5" style="1" hidden="1" customWidth="1"/>
    <col min="15" max="17" width="7.5" style="97" hidden="1" customWidth="1"/>
    <col min="18" max="21" width="7.5" style="4" hidden="1" customWidth="1"/>
    <col min="22" max="23" width="8.5" style="4" hidden="1" customWidth="1"/>
    <col min="24" max="25" width="7.5" style="4" hidden="1" customWidth="1"/>
    <col min="26" max="16384" width="9" style="2"/>
  </cols>
  <sheetData>
    <row r="1" spans="1:25" ht="47.25" customHeight="1" x14ac:dyDescent="0.15">
      <c r="B1" s="98">
        <f>SUM(J3:J109)</f>
        <v>0</v>
      </c>
      <c r="I1" s="5"/>
      <c r="K1" s="1" t="str">
        <f>"&amp;h00"&amp;DEC2HEX(N1,2)&amp;DEC2HEX(M1,2)&amp;DEC2HEX(L1,2)&amp;"&amp;"</f>
        <v>&amp;h00FFFFFF&amp;</v>
      </c>
      <c r="L1" s="1">
        <f>(1-O1)*255</f>
        <v>255</v>
      </c>
      <c r="M1" s="1">
        <f>(1-P1)*255</f>
        <v>255</v>
      </c>
      <c r="N1" s="1">
        <f>(1-Q1)*255</f>
        <v>255</v>
      </c>
      <c r="O1" s="97">
        <f>MIN(1,R1*(1-U1)+U1)</f>
        <v>0</v>
      </c>
      <c r="P1" s="97">
        <f>MIN(1,S1*(1-U1)+U1)</f>
        <v>0</v>
      </c>
      <c r="Q1" s="97">
        <f>MIN(1,T1*(1-U1)+U1)</f>
        <v>0</v>
      </c>
      <c r="R1" s="4">
        <f>IFERROR(SUM(V3:V109)/B1,0)</f>
        <v>0</v>
      </c>
      <c r="S1" s="4">
        <f>IFERROR(SUM(W3:W109)/B1,0)</f>
        <v>0</v>
      </c>
      <c r="T1" s="4">
        <f>IFERROR(SUM(X3:X109)/B1,0)</f>
        <v>0</v>
      </c>
      <c r="U1" s="4">
        <f>IFERROR(SUM(Y3:Y109)/B1,0)</f>
        <v>0</v>
      </c>
    </row>
    <row r="2" spans="1:25" ht="43.5" customHeight="1" x14ac:dyDescent="0.15">
      <c r="A2" s="99" t="s">
        <v>190</v>
      </c>
      <c r="B2" s="99" t="s">
        <v>200</v>
      </c>
      <c r="C2" s="99" t="s">
        <v>201</v>
      </c>
      <c r="D2" s="99" t="s">
        <v>202</v>
      </c>
      <c r="E2" s="99" t="s">
        <v>212</v>
      </c>
      <c r="F2" s="99" t="s">
        <v>198</v>
      </c>
      <c r="G2" s="100" t="s">
        <v>191</v>
      </c>
      <c r="H2" s="99" t="s">
        <v>192</v>
      </c>
      <c r="I2" s="101" t="s">
        <v>196</v>
      </c>
      <c r="J2" s="101" t="s">
        <v>221</v>
      </c>
      <c r="K2" s="99" t="s">
        <v>193</v>
      </c>
      <c r="L2" s="99" t="s">
        <v>199</v>
      </c>
      <c r="M2" s="99" t="s">
        <v>194</v>
      </c>
      <c r="N2" s="99" t="s">
        <v>195</v>
      </c>
      <c r="O2" s="103" t="s">
        <v>203</v>
      </c>
      <c r="P2" s="103" t="s">
        <v>204</v>
      </c>
      <c r="Q2" s="103" t="s">
        <v>205</v>
      </c>
      <c r="R2" s="99" t="s">
        <v>222</v>
      </c>
      <c r="S2" s="99" t="s">
        <v>223</v>
      </c>
      <c r="T2" s="99" t="s">
        <v>224</v>
      </c>
      <c r="U2" s="99" t="s">
        <v>225</v>
      </c>
      <c r="V2" s="102" t="s">
        <v>226</v>
      </c>
      <c r="W2" s="102" t="s">
        <v>227</v>
      </c>
      <c r="X2" s="102" t="s">
        <v>228</v>
      </c>
      <c r="Y2" s="102" t="s">
        <v>229</v>
      </c>
    </row>
    <row r="3" spans="1:25" ht="27" customHeight="1" x14ac:dyDescent="0.15">
      <c r="A3" s="1">
        <v>1</v>
      </c>
      <c r="B3" s="1" t="s">
        <v>214</v>
      </c>
      <c r="C3" s="1">
        <v>1</v>
      </c>
      <c r="G3" s="96" t="str">
        <f t="shared" ref="G3:G34" si="0">B3&amp;C3&amp;D3</f>
        <v>X1</v>
      </c>
      <c r="H3" s="2" t="s">
        <v>0</v>
      </c>
      <c r="I3" s="3"/>
      <c r="K3" s="1" t="s">
        <v>100</v>
      </c>
      <c r="L3" s="1">
        <f t="shared" ref="L3:L34" si="1">HEX2DEC(MID(K3,9,2))</f>
        <v>35</v>
      </c>
      <c r="M3" s="1">
        <f t="shared" ref="M3:M34" si="2">HEX2DEC(MID(K3,7,2))</f>
        <v>25</v>
      </c>
      <c r="N3" s="1">
        <f t="shared" ref="N3:N34" si="3">HEX2DEC(MID(K3,5,2))</f>
        <v>22</v>
      </c>
      <c r="O3" s="97">
        <f t="shared" ref="O3:O34" si="4">(255-L3)/255</f>
        <v>0.86274509803921573</v>
      </c>
      <c r="P3" s="97">
        <f t="shared" ref="P3:P34" si="5">(255-M3)/255</f>
        <v>0.90196078431372551</v>
      </c>
      <c r="Q3" s="97">
        <f t="shared" ref="Q3:Q34" si="6">(255-N3)/255</f>
        <v>0.9137254901960784</v>
      </c>
      <c r="R3" s="4">
        <f t="shared" ref="R3:R34" si="7">(O3-U3)/(1-U3)</f>
        <v>0</v>
      </c>
      <c r="S3" s="4">
        <f t="shared" ref="S3:S34" si="8">(P3-U3)/(1-U3)</f>
        <v>0.28571428571428559</v>
      </c>
      <c r="T3" s="4">
        <f t="shared" ref="T3:T34" si="9">(Q3-U3)/(1-U3)</f>
        <v>0.37142857142857105</v>
      </c>
      <c r="U3" s="4">
        <f t="shared" ref="U3:U34" si="10">MIN(O3,P3,Q3)</f>
        <v>0.86274509803921573</v>
      </c>
      <c r="V3" s="4">
        <f t="shared" ref="V3:V34" si="11">J3*R3</f>
        <v>0</v>
      </c>
      <c r="W3" s="4">
        <f t="shared" ref="W3:W34" si="12">J3*S3</f>
        <v>0</v>
      </c>
      <c r="X3" s="4">
        <f t="shared" ref="X3:X34" si="13">J3*T3</f>
        <v>0</v>
      </c>
      <c r="Y3" s="4">
        <f t="shared" ref="Y3:Y34" si="14">J3*U3</f>
        <v>0</v>
      </c>
    </row>
    <row r="4" spans="1:25" ht="27" customHeight="1" x14ac:dyDescent="0.15">
      <c r="A4" s="1">
        <v>2</v>
      </c>
      <c r="B4" s="1" t="s">
        <v>214</v>
      </c>
      <c r="C4" s="1">
        <v>2</v>
      </c>
      <c r="G4" s="96" t="str">
        <f t="shared" si="0"/>
        <v>X2</v>
      </c>
      <c r="H4" s="2" t="s">
        <v>1</v>
      </c>
      <c r="I4" s="5"/>
      <c r="K4" s="1" t="s">
        <v>101</v>
      </c>
      <c r="L4" s="1">
        <f t="shared" si="1"/>
        <v>255</v>
      </c>
      <c r="M4" s="1">
        <f t="shared" si="2"/>
        <v>255</v>
      </c>
      <c r="N4" s="1">
        <f t="shared" si="3"/>
        <v>255</v>
      </c>
      <c r="O4" s="97">
        <f t="shared" si="4"/>
        <v>0</v>
      </c>
      <c r="P4" s="97">
        <f t="shared" si="5"/>
        <v>0</v>
      </c>
      <c r="Q4" s="97">
        <f t="shared" si="6"/>
        <v>0</v>
      </c>
      <c r="R4" s="4">
        <f t="shared" si="7"/>
        <v>0</v>
      </c>
      <c r="S4" s="4">
        <f t="shared" si="8"/>
        <v>0</v>
      </c>
      <c r="T4" s="4">
        <f t="shared" si="9"/>
        <v>0</v>
      </c>
      <c r="U4" s="4">
        <f t="shared" si="10"/>
        <v>0</v>
      </c>
      <c r="V4" s="4">
        <f t="shared" si="11"/>
        <v>0</v>
      </c>
      <c r="W4" s="4">
        <f t="shared" si="12"/>
        <v>0</v>
      </c>
      <c r="X4" s="4">
        <f t="shared" si="13"/>
        <v>0</v>
      </c>
      <c r="Y4" s="4">
        <f t="shared" si="14"/>
        <v>0</v>
      </c>
    </row>
    <row r="5" spans="1:25" ht="27" customHeight="1" x14ac:dyDescent="0.15">
      <c r="A5" s="1">
        <v>3</v>
      </c>
      <c r="B5" s="1" t="s">
        <v>214</v>
      </c>
      <c r="C5" s="1">
        <v>3</v>
      </c>
      <c r="G5" s="96" t="str">
        <f t="shared" si="0"/>
        <v>X3</v>
      </c>
      <c r="H5" s="2" t="s">
        <v>2</v>
      </c>
      <c r="I5" s="6"/>
      <c r="K5" s="1" t="s">
        <v>102</v>
      </c>
      <c r="L5" s="1">
        <f t="shared" si="1"/>
        <v>20</v>
      </c>
      <c r="M5" s="1">
        <f t="shared" si="2"/>
        <v>54</v>
      </c>
      <c r="N5" s="1">
        <f t="shared" si="3"/>
        <v>96</v>
      </c>
      <c r="O5" s="97">
        <f t="shared" si="4"/>
        <v>0.92156862745098034</v>
      </c>
      <c r="P5" s="97">
        <f t="shared" si="5"/>
        <v>0.78823529411764703</v>
      </c>
      <c r="Q5" s="97">
        <f t="shared" si="6"/>
        <v>0.62352941176470589</v>
      </c>
      <c r="R5" s="4">
        <f t="shared" si="7"/>
        <v>0.79166666666666652</v>
      </c>
      <c r="S5" s="4">
        <f t="shared" si="8"/>
        <v>0.43749999999999994</v>
      </c>
      <c r="T5" s="4">
        <f t="shared" si="9"/>
        <v>0</v>
      </c>
      <c r="U5" s="4">
        <f t="shared" si="10"/>
        <v>0.62352941176470589</v>
      </c>
      <c r="V5" s="4">
        <f t="shared" si="11"/>
        <v>0</v>
      </c>
      <c r="W5" s="4">
        <f t="shared" si="12"/>
        <v>0</v>
      </c>
      <c r="X5" s="4">
        <f t="shared" si="13"/>
        <v>0</v>
      </c>
      <c r="Y5" s="4">
        <f t="shared" si="14"/>
        <v>0</v>
      </c>
    </row>
    <row r="6" spans="1:25" ht="27" customHeight="1" x14ac:dyDescent="0.15">
      <c r="A6" s="1">
        <v>4</v>
      </c>
      <c r="B6" s="1" t="s">
        <v>214</v>
      </c>
      <c r="C6" s="1">
        <v>4</v>
      </c>
      <c r="G6" s="96" t="str">
        <f t="shared" si="0"/>
        <v>X4</v>
      </c>
      <c r="H6" s="2" t="s">
        <v>3</v>
      </c>
      <c r="I6" s="7"/>
      <c r="K6" s="1" t="s">
        <v>103</v>
      </c>
      <c r="L6" s="1">
        <f t="shared" si="1"/>
        <v>0</v>
      </c>
      <c r="M6" s="1">
        <f t="shared" si="2"/>
        <v>78</v>
      </c>
      <c r="N6" s="1">
        <f t="shared" si="3"/>
        <v>162</v>
      </c>
      <c r="O6" s="97">
        <f t="shared" si="4"/>
        <v>1</v>
      </c>
      <c r="P6" s="97">
        <f t="shared" si="5"/>
        <v>0.69411764705882351</v>
      </c>
      <c r="Q6" s="97">
        <f t="shared" si="6"/>
        <v>0.36470588235294116</v>
      </c>
      <c r="R6" s="4">
        <f t="shared" si="7"/>
        <v>1</v>
      </c>
      <c r="S6" s="4">
        <f t="shared" si="8"/>
        <v>0.51851851851851849</v>
      </c>
      <c r="T6" s="4">
        <f t="shared" si="9"/>
        <v>0</v>
      </c>
      <c r="U6" s="4">
        <f t="shared" si="10"/>
        <v>0.36470588235294116</v>
      </c>
      <c r="V6" s="4">
        <f t="shared" si="11"/>
        <v>0</v>
      </c>
      <c r="W6" s="4">
        <f t="shared" si="12"/>
        <v>0</v>
      </c>
      <c r="X6" s="4">
        <f t="shared" si="13"/>
        <v>0</v>
      </c>
      <c r="Y6" s="4">
        <f t="shared" si="14"/>
        <v>0</v>
      </c>
    </row>
    <row r="7" spans="1:25" ht="27" customHeight="1" x14ac:dyDescent="0.15">
      <c r="A7" s="1">
        <v>5</v>
      </c>
      <c r="B7" s="1" t="s">
        <v>214</v>
      </c>
      <c r="C7" s="1">
        <v>5</v>
      </c>
      <c r="G7" s="96" t="str">
        <f t="shared" si="0"/>
        <v>X5</v>
      </c>
      <c r="H7" s="2" t="s">
        <v>4</v>
      </c>
      <c r="I7" s="8"/>
      <c r="K7" s="1" t="s">
        <v>104</v>
      </c>
      <c r="L7" s="1">
        <f t="shared" si="1"/>
        <v>0</v>
      </c>
      <c r="M7" s="1">
        <f t="shared" si="2"/>
        <v>107</v>
      </c>
      <c r="N7" s="1">
        <f t="shared" si="3"/>
        <v>69</v>
      </c>
      <c r="O7" s="97">
        <f t="shared" si="4"/>
        <v>1</v>
      </c>
      <c r="P7" s="97">
        <f t="shared" si="5"/>
        <v>0.58039215686274515</v>
      </c>
      <c r="Q7" s="97">
        <f t="shared" si="6"/>
        <v>0.72941176470588232</v>
      </c>
      <c r="R7" s="4">
        <f t="shared" si="7"/>
        <v>1</v>
      </c>
      <c r="S7" s="4">
        <f t="shared" si="8"/>
        <v>0</v>
      </c>
      <c r="T7" s="4">
        <f t="shared" si="9"/>
        <v>0.35514018691588767</v>
      </c>
      <c r="U7" s="4">
        <f t="shared" si="10"/>
        <v>0.58039215686274515</v>
      </c>
      <c r="V7" s="4">
        <f t="shared" si="11"/>
        <v>0</v>
      </c>
      <c r="W7" s="4">
        <f t="shared" si="12"/>
        <v>0</v>
      </c>
      <c r="X7" s="4">
        <f t="shared" si="13"/>
        <v>0</v>
      </c>
      <c r="Y7" s="4">
        <f t="shared" si="14"/>
        <v>0</v>
      </c>
    </row>
    <row r="8" spans="1:25" ht="27" customHeight="1" x14ac:dyDescent="0.15">
      <c r="A8" s="1">
        <v>6</v>
      </c>
      <c r="B8" s="1" t="s">
        <v>214</v>
      </c>
      <c r="C8" s="1">
        <v>6</v>
      </c>
      <c r="G8" s="96" t="str">
        <f t="shared" si="0"/>
        <v>X6</v>
      </c>
      <c r="H8" s="2" t="s">
        <v>5</v>
      </c>
      <c r="I8" s="9"/>
      <c r="K8" s="1" t="s">
        <v>105</v>
      </c>
      <c r="L8" s="1">
        <f t="shared" si="1"/>
        <v>237</v>
      </c>
      <c r="M8" s="1">
        <f t="shared" si="2"/>
        <v>109</v>
      </c>
      <c r="N8" s="1">
        <f t="shared" si="3"/>
        <v>1</v>
      </c>
      <c r="O8" s="97">
        <f t="shared" si="4"/>
        <v>7.0588235294117646E-2</v>
      </c>
      <c r="P8" s="97">
        <f t="shared" si="5"/>
        <v>0.5725490196078431</v>
      </c>
      <c r="Q8" s="97">
        <f t="shared" si="6"/>
        <v>0.99607843137254903</v>
      </c>
      <c r="R8" s="4">
        <f t="shared" si="7"/>
        <v>0</v>
      </c>
      <c r="S8" s="4">
        <f t="shared" si="8"/>
        <v>0.54008438818565396</v>
      </c>
      <c r="T8" s="4">
        <f t="shared" si="9"/>
        <v>0.99578059071729963</v>
      </c>
      <c r="U8" s="4">
        <f t="shared" si="10"/>
        <v>7.0588235294117646E-2</v>
      </c>
      <c r="V8" s="4">
        <f t="shared" si="11"/>
        <v>0</v>
      </c>
      <c r="W8" s="4">
        <f t="shared" si="12"/>
        <v>0</v>
      </c>
      <c r="X8" s="4">
        <f t="shared" si="13"/>
        <v>0</v>
      </c>
      <c r="Y8" s="4">
        <f t="shared" si="14"/>
        <v>0</v>
      </c>
    </row>
    <row r="9" spans="1:25" ht="27" customHeight="1" x14ac:dyDescent="0.15">
      <c r="A9" s="1">
        <v>7</v>
      </c>
      <c r="B9" s="1" t="s">
        <v>214</v>
      </c>
      <c r="C9" s="1">
        <v>7</v>
      </c>
      <c r="G9" s="96" t="str">
        <f t="shared" si="0"/>
        <v>X7</v>
      </c>
      <c r="H9" s="2" t="s">
        <v>98</v>
      </c>
      <c r="I9" s="10"/>
      <c r="K9" s="1" t="s">
        <v>106</v>
      </c>
      <c r="L9" s="1">
        <f t="shared" si="1"/>
        <v>230</v>
      </c>
      <c r="M9" s="1">
        <f t="shared" si="2"/>
        <v>0</v>
      </c>
      <c r="N9" s="1">
        <f t="shared" si="3"/>
        <v>19</v>
      </c>
      <c r="O9" s="97">
        <f t="shared" si="4"/>
        <v>9.8039215686274508E-2</v>
      </c>
      <c r="P9" s="97">
        <f t="shared" si="5"/>
        <v>1</v>
      </c>
      <c r="Q9" s="97">
        <f t="shared" si="6"/>
        <v>0.92549019607843142</v>
      </c>
      <c r="R9" s="4">
        <f t="shared" si="7"/>
        <v>0</v>
      </c>
      <c r="S9" s="4">
        <f t="shared" si="8"/>
        <v>1</v>
      </c>
      <c r="T9" s="4">
        <f t="shared" si="9"/>
        <v>0.91739130434782612</v>
      </c>
      <c r="U9" s="4">
        <f t="shared" si="10"/>
        <v>9.8039215686274508E-2</v>
      </c>
      <c r="V9" s="4">
        <f t="shared" si="11"/>
        <v>0</v>
      </c>
      <c r="W9" s="4">
        <f t="shared" si="12"/>
        <v>0</v>
      </c>
      <c r="X9" s="4">
        <f t="shared" si="13"/>
        <v>0</v>
      </c>
      <c r="Y9" s="4">
        <f t="shared" si="14"/>
        <v>0</v>
      </c>
    </row>
    <row r="10" spans="1:25" ht="27" customHeight="1" x14ac:dyDescent="0.15">
      <c r="A10" s="1">
        <v>8</v>
      </c>
      <c r="B10" s="1" t="s">
        <v>214</v>
      </c>
      <c r="C10" s="1">
        <v>8</v>
      </c>
      <c r="G10" s="96" t="str">
        <f t="shared" si="0"/>
        <v>X8</v>
      </c>
      <c r="H10" s="2" t="s">
        <v>6</v>
      </c>
      <c r="I10" s="11"/>
      <c r="K10" s="1" t="s">
        <v>107</v>
      </c>
      <c r="L10" s="1">
        <f t="shared" si="1"/>
        <v>255</v>
      </c>
      <c r="M10" s="1">
        <f t="shared" si="2"/>
        <v>222</v>
      </c>
      <c r="N10" s="1">
        <f t="shared" si="3"/>
        <v>0</v>
      </c>
      <c r="O10" s="97">
        <f t="shared" si="4"/>
        <v>0</v>
      </c>
      <c r="P10" s="97">
        <f t="shared" si="5"/>
        <v>0.12941176470588237</v>
      </c>
      <c r="Q10" s="97">
        <f t="shared" si="6"/>
        <v>1</v>
      </c>
      <c r="R10" s="4">
        <f t="shared" si="7"/>
        <v>0</v>
      </c>
      <c r="S10" s="4">
        <f t="shared" si="8"/>
        <v>0.12941176470588237</v>
      </c>
      <c r="T10" s="4">
        <f t="shared" si="9"/>
        <v>1</v>
      </c>
      <c r="U10" s="4">
        <f t="shared" si="10"/>
        <v>0</v>
      </c>
      <c r="V10" s="4">
        <f t="shared" si="11"/>
        <v>0</v>
      </c>
      <c r="W10" s="4">
        <f t="shared" si="12"/>
        <v>0</v>
      </c>
      <c r="X10" s="4">
        <f t="shared" si="13"/>
        <v>0</v>
      </c>
      <c r="Y10" s="4">
        <f t="shared" si="14"/>
        <v>0</v>
      </c>
    </row>
    <row r="11" spans="1:25" ht="27" customHeight="1" x14ac:dyDescent="0.15">
      <c r="A11" s="1">
        <v>9</v>
      </c>
      <c r="B11" s="1" t="s">
        <v>214</v>
      </c>
      <c r="C11" s="1">
        <v>9</v>
      </c>
      <c r="G11" s="96" t="str">
        <f t="shared" si="0"/>
        <v>X9</v>
      </c>
      <c r="H11" s="2" t="s">
        <v>7</v>
      </c>
      <c r="I11" s="12"/>
      <c r="K11" s="1" t="s">
        <v>108</v>
      </c>
      <c r="L11" s="1">
        <f t="shared" si="1"/>
        <v>116</v>
      </c>
      <c r="M11" s="1">
        <f t="shared" si="2"/>
        <v>55</v>
      </c>
      <c r="N11" s="1">
        <f t="shared" si="3"/>
        <v>47</v>
      </c>
      <c r="O11" s="97">
        <f t="shared" si="4"/>
        <v>0.54509803921568623</v>
      </c>
      <c r="P11" s="97">
        <f t="shared" si="5"/>
        <v>0.78431372549019607</v>
      </c>
      <c r="Q11" s="97">
        <f t="shared" si="6"/>
        <v>0.81568627450980391</v>
      </c>
      <c r="R11" s="4">
        <f t="shared" si="7"/>
        <v>0</v>
      </c>
      <c r="S11" s="4">
        <f t="shared" si="8"/>
        <v>0.52586206896551724</v>
      </c>
      <c r="T11" s="4">
        <f t="shared" si="9"/>
        <v>0.59482758620689657</v>
      </c>
      <c r="U11" s="4">
        <f t="shared" si="10"/>
        <v>0.54509803921568623</v>
      </c>
      <c r="V11" s="4">
        <f t="shared" si="11"/>
        <v>0</v>
      </c>
      <c r="W11" s="4">
        <f t="shared" si="12"/>
        <v>0</v>
      </c>
      <c r="X11" s="4">
        <f t="shared" si="13"/>
        <v>0</v>
      </c>
      <c r="Y11" s="4">
        <f t="shared" si="14"/>
        <v>0</v>
      </c>
    </row>
    <row r="12" spans="1:25" ht="27" customHeight="1" x14ac:dyDescent="0.15">
      <c r="A12" s="1">
        <v>10</v>
      </c>
      <c r="B12" s="1" t="s">
        <v>214</v>
      </c>
      <c r="C12" s="1">
        <v>10</v>
      </c>
      <c r="G12" s="96" t="str">
        <f t="shared" si="0"/>
        <v>X10</v>
      </c>
      <c r="H12" s="2" t="s">
        <v>8</v>
      </c>
      <c r="I12" s="13"/>
      <c r="K12" s="1" t="s">
        <v>197</v>
      </c>
      <c r="L12" s="1">
        <f t="shared" si="1"/>
        <v>89</v>
      </c>
      <c r="M12" s="1">
        <f t="shared" si="2"/>
        <v>87</v>
      </c>
      <c r="N12" s="1">
        <f t="shared" si="3"/>
        <v>87</v>
      </c>
      <c r="O12" s="97">
        <f t="shared" si="4"/>
        <v>0.65098039215686276</v>
      </c>
      <c r="P12" s="97">
        <f t="shared" si="5"/>
        <v>0.6588235294117647</v>
      </c>
      <c r="Q12" s="97">
        <f t="shared" si="6"/>
        <v>0.6588235294117647</v>
      </c>
      <c r="R12" s="4">
        <f t="shared" si="7"/>
        <v>0</v>
      </c>
      <c r="S12" s="4">
        <f t="shared" si="8"/>
        <v>2.2471910112359474E-2</v>
      </c>
      <c r="T12" s="4">
        <f t="shared" si="9"/>
        <v>2.2471910112359474E-2</v>
      </c>
      <c r="U12" s="4">
        <f t="shared" si="10"/>
        <v>0.65098039215686276</v>
      </c>
      <c r="V12" s="4">
        <f t="shared" si="11"/>
        <v>0</v>
      </c>
      <c r="W12" s="4">
        <f t="shared" si="12"/>
        <v>0</v>
      </c>
      <c r="X12" s="4">
        <f t="shared" si="13"/>
        <v>0</v>
      </c>
      <c r="Y12" s="4">
        <f t="shared" si="14"/>
        <v>0</v>
      </c>
    </row>
    <row r="13" spans="1:25" ht="25.5" customHeight="1" x14ac:dyDescent="0.15">
      <c r="A13" s="1">
        <v>11</v>
      </c>
      <c r="B13" s="1" t="s">
        <v>214</v>
      </c>
      <c r="C13" s="1">
        <v>11</v>
      </c>
      <c r="E13" s="1" t="s">
        <v>220</v>
      </c>
      <c r="G13" s="96" t="str">
        <f t="shared" si="0"/>
        <v>X11</v>
      </c>
      <c r="H13" s="2" t="s">
        <v>9</v>
      </c>
      <c r="I13" s="14"/>
      <c r="K13" s="1" t="s">
        <v>109</v>
      </c>
      <c r="L13" s="1">
        <f t="shared" si="1"/>
        <v>214</v>
      </c>
      <c r="M13" s="1">
        <f t="shared" si="2"/>
        <v>215</v>
      </c>
      <c r="N13" s="1">
        <f t="shared" si="3"/>
        <v>215</v>
      </c>
      <c r="O13" s="97">
        <f t="shared" si="4"/>
        <v>0.16078431372549021</v>
      </c>
      <c r="P13" s="97">
        <f t="shared" si="5"/>
        <v>0.15686274509803921</v>
      </c>
      <c r="Q13" s="97">
        <f t="shared" si="6"/>
        <v>0.15686274509803921</v>
      </c>
      <c r="R13" s="4">
        <f t="shared" si="7"/>
        <v>4.6511627906976908E-3</v>
      </c>
      <c r="S13" s="4">
        <f t="shared" si="8"/>
        <v>0</v>
      </c>
      <c r="T13" s="4">
        <f t="shared" si="9"/>
        <v>0</v>
      </c>
      <c r="U13" s="4">
        <f t="shared" si="10"/>
        <v>0.15686274509803921</v>
      </c>
      <c r="V13" s="4">
        <f t="shared" si="11"/>
        <v>0</v>
      </c>
      <c r="W13" s="4">
        <f t="shared" si="12"/>
        <v>0</v>
      </c>
      <c r="X13" s="4">
        <f t="shared" si="13"/>
        <v>0</v>
      </c>
      <c r="Y13" s="4">
        <f t="shared" si="14"/>
        <v>0</v>
      </c>
    </row>
    <row r="14" spans="1:25" ht="25.5" customHeight="1" x14ac:dyDescent="0.15">
      <c r="A14" s="1">
        <v>12</v>
      </c>
      <c r="B14" s="1" t="s">
        <v>214</v>
      </c>
      <c r="C14" s="1">
        <v>12</v>
      </c>
      <c r="E14" s="1" t="s">
        <v>216</v>
      </c>
      <c r="G14" s="96" t="str">
        <f t="shared" si="0"/>
        <v>X12</v>
      </c>
      <c r="H14" s="2" t="s">
        <v>10</v>
      </c>
      <c r="I14" s="15"/>
      <c r="K14" s="1" t="s">
        <v>110</v>
      </c>
      <c r="L14" s="1">
        <f t="shared" si="1"/>
        <v>205</v>
      </c>
      <c r="M14" s="1">
        <f t="shared" si="2"/>
        <v>167</v>
      </c>
      <c r="N14" s="1">
        <f t="shared" si="3"/>
        <v>1</v>
      </c>
      <c r="O14" s="97">
        <f t="shared" si="4"/>
        <v>0.19607843137254902</v>
      </c>
      <c r="P14" s="97">
        <f t="shared" si="5"/>
        <v>0.34509803921568627</v>
      </c>
      <c r="Q14" s="97">
        <f t="shared" si="6"/>
        <v>0.99607843137254903</v>
      </c>
      <c r="R14" s="4">
        <f t="shared" si="7"/>
        <v>0</v>
      </c>
      <c r="S14" s="4">
        <f t="shared" si="8"/>
        <v>0.18536585365853658</v>
      </c>
      <c r="T14" s="4">
        <f t="shared" si="9"/>
        <v>0.99512195121951219</v>
      </c>
      <c r="U14" s="4">
        <f t="shared" si="10"/>
        <v>0.19607843137254902</v>
      </c>
      <c r="V14" s="4">
        <f t="shared" si="11"/>
        <v>0</v>
      </c>
      <c r="W14" s="4">
        <f t="shared" si="12"/>
        <v>0</v>
      </c>
      <c r="X14" s="4">
        <f t="shared" si="13"/>
        <v>0</v>
      </c>
      <c r="Y14" s="4">
        <f t="shared" si="14"/>
        <v>0</v>
      </c>
    </row>
    <row r="15" spans="1:25" ht="27" customHeight="1" x14ac:dyDescent="0.15">
      <c r="A15" s="1">
        <v>13</v>
      </c>
      <c r="B15" s="1" t="s">
        <v>214</v>
      </c>
      <c r="C15" s="1">
        <v>13</v>
      </c>
      <c r="G15" s="96" t="str">
        <f t="shared" si="0"/>
        <v>X13</v>
      </c>
      <c r="H15" s="2" t="s">
        <v>11</v>
      </c>
      <c r="I15" s="16"/>
      <c r="K15" s="1" t="s">
        <v>111</v>
      </c>
      <c r="L15" s="1">
        <f t="shared" si="1"/>
        <v>0</v>
      </c>
      <c r="M15" s="1">
        <f t="shared" si="2"/>
        <v>97</v>
      </c>
      <c r="N15" s="1">
        <f t="shared" si="3"/>
        <v>137</v>
      </c>
      <c r="O15" s="97">
        <f t="shared" si="4"/>
        <v>1</v>
      </c>
      <c r="P15" s="97">
        <f t="shared" si="5"/>
        <v>0.61960784313725492</v>
      </c>
      <c r="Q15" s="97">
        <f t="shared" si="6"/>
        <v>0.46274509803921571</v>
      </c>
      <c r="R15" s="4">
        <f t="shared" si="7"/>
        <v>1</v>
      </c>
      <c r="S15" s="4">
        <f t="shared" si="8"/>
        <v>0.29197080291970806</v>
      </c>
      <c r="T15" s="4">
        <f t="shared" si="9"/>
        <v>0</v>
      </c>
      <c r="U15" s="4">
        <f t="shared" si="10"/>
        <v>0.46274509803921571</v>
      </c>
      <c r="V15" s="4">
        <f t="shared" si="11"/>
        <v>0</v>
      </c>
      <c r="W15" s="4">
        <f t="shared" si="12"/>
        <v>0</v>
      </c>
      <c r="X15" s="4">
        <f t="shared" si="13"/>
        <v>0</v>
      </c>
      <c r="Y15" s="4">
        <f t="shared" si="14"/>
        <v>0</v>
      </c>
    </row>
    <row r="16" spans="1:25" ht="27" customHeight="1" x14ac:dyDescent="0.15">
      <c r="A16" s="1">
        <v>14</v>
      </c>
      <c r="B16" s="1" t="s">
        <v>214</v>
      </c>
      <c r="C16" s="1">
        <v>14</v>
      </c>
      <c r="G16" s="96" t="str">
        <f t="shared" si="0"/>
        <v>X14</v>
      </c>
      <c r="H16" s="2" t="s">
        <v>12</v>
      </c>
      <c r="I16" s="17"/>
      <c r="K16" s="1" t="s">
        <v>112</v>
      </c>
      <c r="L16" s="1">
        <f t="shared" si="1"/>
        <v>0</v>
      </c>
      <c r="M16" s="1">
        <f t="shared" si="2"/>
        <v>166</v>
      </c>
      <c r="N16" s="1">
        <f t="shared" si="3"/>
        <v>234</v>
      </c>
      <c r="O16" s="97">
        <f t="shared" si="4"/>
        <v>1</v>
      </c>
      <c r="P16" s="97">
        <f t="shared" si="5"/>
        <v>0.34901960784313724</v>
      </c>
      <c r="Q16" s="97">
        <f t="shared" si="6"/>
        <v>8.2352941176470587E-2</v>
      </c>
      <c r="R16" s="4">
        <f t="shared" si="7"/>
        <v>1</v>
      </c>
      <c r="S16" s="4">
        <f t="shared" si="8"/>
        <v>0.29059829059829062</v>
      </c>
      <c r="T16" s="4">
        <f t="shared" si="9"/>
        <v>0</v>
      </c>
      <c r="U16" s="4">
        <f t="shared" si="10"/>
        <v>8.2352941176470587E-2</v>
      </c>
      <c r="V16" s="4">
        <f t="shared" si="11"/>
        <v>0</v>
      </c>
      <c r="W16" s="4">
        <f t="shared" si="12"/>
        <v>0</v>
      </c>
      <c r="X16" s="4">
        <f t="shared" si="13"/>
        <v>0</v>
      </c>
      <c r="Y16" s="4">
        <f t="shared" si="14"/>
        <v>0</v>
      </c>
    </row>
    <row r="17" spans="1:25" ht="27" customHeight="1" x14ac:dyDescent="0.15">
      <c r="A17" s="1">
        <v>15</v>
      </c>
      <c r="B17" s="1" t="s">
        <v>214</v>
      </c>
      <c r="C17" s="1">
        <v>15</v>
      </c>
      <c r="G17" s="96" t="str">
        <f t="shared" si="0"/>
        <v>X15</v>
      </c>
      <c r="H17" s="2" t="s">
        <v>13</v>
      </c>
      <c r="I17" s="18"/>
      <c r="K17" s="1" t="s">
        <v>113</v>
      </c>
      <c r="L17" s="1">
        <f t="shared" si="1"/>
        <v>114</v>
      </c>
      <c r="M17" s="1">
        <f t="shared" si="2"/>
        <v>187</v>
      </c>
      <c r="N17" s="1">
        <f t="shared" si="3"/>
        <v>42</v>
      </c>
      <c r="O17" s="97">
        <f t="shared" si="4"/>
        <v>0.55294117647058827</v>
      </c>
      <c r="P17" s="97">
        <f t="shared" si="5"/>
        <v>0.26666666666666666</v>
      </c>
      <c r="Q17" s="97">
        <f t="shared" si="6"/>
        <v>0.83529411764705885</v>
      </c>
      <c r="R17" s="4">
        <f t="shared" si="7"/>
        <v>0.39037433155080214</v>
      </c>
      <c r="S17" s="4">
        <f t="shared" si="8"/>
        <v>0</v>
      </c>
      <c r="T17" s="4">
        <f t="shared" si="9"/>
        <v>0.77540106951871646</v>
      </c>
      <c r="U17" s="4">
        <f t="shared" si="10"/>
        <v>0.26666666666666666</v>
      </c>
      <c r="V17" s="4">
        <f t="shared" si="11"/>
        <v>0</v>
      </c>
      <c r="W17" s="4">
        <f t="shared" si="12"/>
        <v>0</v>
      </c>
      <c r="X17" s="4">
        <f t="shared" si="13"/>
        <v>0</v>
      </c>
      <c r="Y17" s="4">
        <f t="shared" si="14"/>
        <v>0</v>
      </c>
    </row>
    <row r="18" spans="1:25" ht="27" customHeight="1" x14ac:dyDescent="0.15">
      <c r="A18" s="1">
        <v>16</v>
      </c>
      <c r="B18" s="1" t="s">
        <v>214</v>
      </c>
      <c r="C18" s="1">
        <v>16</v>
      </c>
      <c r="G18" s="96" t="str">
        <f t="shared" si="0"/>
        <v>X16</v>
      </c>
      <c r="H18" s="2" t="s">
        <v>14</v>
      </c>
      <c r="I18" s="19"/>
      <c r="K18" s="1" t="s">
        <v>114</v>
      </c>
      <c r="L18" s="1">
        <f t="shared" si="1"/>
        <v>87</v>
      </c>
      <c r="M18" s="1">
        <f t="shared" si="2"/>
        <v>74</v>
      </c>
      <c r="N18" s="1">
        <f t="shared" si="3"/>
        <v>143</v>
      </c>
      <c r="O18" s="97">
        <f t="shared" si="4"/>
        <v>0.6588235294117647</v>
      </c>
      <c r="P18" s="97">
        <f t="shared" si="5"/>
        <v>0.70980392156862748</v>
      </c>
      <c r="Q18" s="97">
        <f t="shared" si="6"/>
        <v>0.4392156862745098</v>
      </c>
      <c r="R18" s="4">
        <f t="shared" si="7"/>
        <v>0.39160839160839161</v>
      </c>
      <c r="S18" s="4">
        <f t="shared" si="8"/>
        <v>0.48251748251748255</v>
      </c>
      <c r="T18" s="4">
        <f t="shared" si="9"/>
        <v>0</v>
      </c>
      <c r="U18" s="4">
        <f t="shared" si="10"/>
        <v>0.4392156862745098</v>
      </c>
      <c r="V18" s="4">
        <f t="shared" si="11"/>
        <v>0</v>
      </c>
      <c r="W18" s="4">
        <f t="shared" si="12"/>
        <v>0</v>
      </c>
      <c r="X18" s="4">
        <f t="shared" si="13"/>
        <v>0</v>
      </c>
      <c r="Y18" s="4">
        <f t="shared" si="14"/>
        <v>0</v>
      </c>
    </row>
    <row r="19" spans="1:25" ht="27" customHeight="1" x14ac:dyDescent="0.15">
      <c r="A19" s="1">
        <v>17</v>
      </c>
      <c r="B19" s="1" t="s">
        <v>214</v>
      </c>
      <c r="C19" s="1">
        <v>17</v>
      </c>
      <c r="G19" s="96" t="str">
        <f t="shared" si="0"/>
        <v>X17</v>
      </c>
      <c r="H19" s="2" t="s">
        <v>15</v>
      </c>
      <c r="I19" s="20"/>
      <c r="K19" s="1" t="s">
        <v>115</v>
      </c>
      <c r="L19" s="1">
        <f t="shared" si="1"/>
        <v>237</v>
      </c>
      <c r="M19" s="1">
        <f t="shared" si="2"/>
        <v>132</v>
      </c>
      <c r="N19" s="1">
        <f t="shared" si="3"/>
        <v>178</v>
      </c>
      <c r="O19" s="97">
        <f t="shared" si="4"/>
        <v>7.0588235294117646E-2</v>
      </c>
      <c r="P19" s="97">
        <f t="shared" si="5"/>
        <v>0.4823529411764706</v>
      </c>
      <c r="Q19" s="97">
        <f t="shared" si="6"/>
        <v>0.30196078431372547</v>
      </c>
      <c r="R19" s="4">
        <f t="shared" si="7"/>
        <v>0</v>
      </c>
      <c r="S19" s="4">
        <f t="shared" si="8"/>
        <v>0.44303797468354428</v>
      </c>
      <c r="T19" s="4">
        <f t="shared" si="9"/>
        <v>0.24894514767932488</v>
      </c>
      <c r="U19" s="4">
        <f t="shared" si="10"/>
        <v>7.0588235294117646E-2</v>
      </c>
      <c r="V19" s="4">
        <f t="shared" si="11"/>
        <v>0</v>
      </c>
      <c r="W19" s="4">
        <f t="shared" si="12"/>
        <v>0</v>
      </c>
      <c r="X19" s="4">
        <f t="shared" si="13"/>
        <v>0</v>
      </c>
      <c r="Y19" s="4">
        <f t="shared" si="14"/>
        <v>0</v>
      </c>
    </row>
    <row r="20" spans="1:25" ht="27" customHeight="1" x14ac:dyDescent="0.15">
      <c r="A20" s="1">
        <v>18</v>
      </c>
      <c r="B20" s="1" t="s">
        <v>214</v>
      </c>
      <c r="C20" s="1">
        <v>18</v>
      </c>
      <c r="G20" s="96" t="str">
        <f t="shared" si="0"/>
        <v>X18</v>
      </c>
      <c r="H20" s="2" t="s">
        <v>16</v>
      </c>
      <c r="I20" s="3"/>
      <c r="K20" s="1" t="s">
        <v>100</v>
      </c>
      <c r="L20" s="1">
        <f t="shared" si="1"/>
        <v>35</v>
      </c>
      <c r="M20" s="1">
        <f t="shared" si="2"/>
        <v>25</v>
      </c>
      <c r="N20" s="1">
        <f t="shared" si="3"/>
        <v>22</v>
      </c>
      <c r="O20" s="97">
        <f t="shared" si="4"/>
        <v>0.86274509803921573</v>
      </c>
      <c r="P20" s="97">
        <f t="shared" si="5"/>
        <v>0.90196078431372551</v>
      </c>
      <c r="Q20" s="97">
        <f t="shared" si="6"/>
        <v>0.9137254901960784</v>
      </c>
      <c r="R20" s="4">
        <f t="shared" si="7"/>
        <v>0</v>
      </c>
      <c r="S20" s="4">
        <f t="shared" si="8"/>
        <v>0.28571428571428559</v>
      </c>
      <c r="T20" s="4">
        <f t="shared" si="9"/>
        <v>0.37142857142857105</v>
      </c>
      <c r="U20" s="4">
        <f t="shared" si="10"/>
        <v>0.86274509803921573</v>
      </c>
      <c r="V20" s="4">
        <f t="shared" si="11"/>
        <v>0</v>
      </c>
      <c r="W20" s="4">
        <f t="shared" si="12"/>
        <v>0</v>
      </c>
      <c r="X20" s="4">
        <f t="shared" si="13"/>
        <v>0</v>
      </c>
      <c r="Y20" s="4">
        <f t="shared" si="14"/>
        <v>0</v>
      </c>
    </row>
    <row r="21" spans="1:25" ht="25.5" customHeight="1" x14ac:dyDescent="0.15">
      <c r="A21" s="1">
        <v>19</v>
      </c>
      <c r="B21" s="1" t="s">
        <v>214</v>
      </c>
      <c r="C21" s="1">
        <v>19</v>
      </c>
      <c r="E21" s="1" t="s">
        <v>210</v>
      </c>
      <c r="G21" s="96" t="str">
        <f t="shared" si="0"/>
        <v>X19</v>
      </c>
      <c r="H21" s="2" t="s">
        <v>17</v>
      </c>
      <c r="I21" s="21"/>
      <c r="K21" s="1" t="s">
        <v>116</v>
      </c>
      <c r="L21" s="1">
        <f t="shared" si="1"/>
        <v>199</v>
      </c>
      <c r="M21" s="1">
        <f t="shared" si="2"/>
        <v>200</v>
      </c>
      <c r="N21" s="1">
        <f t="shared" si="3"/>
        <v>200</v>
      </c>
      <c r="O21" s="97">
        <f t="shared" si="4"/>
        <v>0.2196078431372549</v>
      </c>
      <c r="P21" s="97">
        <f t="shared" si="5"/>
        <v>0.21568627450980393</v>
      </c>
      <c r="Q21" s="97">
        <f t="shared" si="6"/>
        <v>0.21568627450980393</v>
      </c>
      <c r="R21" s="4">
        <f t="shared" si="7"/>
        <v>4.9999999999999819E-3</v>
      </c>
      <c r="S21" s="4">
        <f t="shared" si="8"/>
        <v>0</v>
      </c>
      <c r="T21" s="4">
        <f t="shared" si="9"/>
        <v>0</v>
      </c>
      <c r="U21" s="4">
        <f t="shared" si="10"/>
        <v>0.21568627450980393</v>
      </c>
      <c r="V21" s="4">
        <f t="shared" si="11"/>
        <v>0</v>
      </c>
      <c r="W21" s="4">
        <f t="shared" si="12"/>
        <v>0</v>
      </c>
      <c r="X21" s="4">
        <f t="shared" si="13"/>
        <v>0</v>
      </c>
      <c r="Y21" s="4">
        <f t="shared" si="14"/>
        <v>0</v>
      </c>
    </row>
    <row r="22" spans="1:25" ht="25.5" customHeight="1" x14ac:dyDescent="0.15">
      <c r="A22" s="1">
        <v>20</v>
      </c>
      <c r="B22" s="1" t="s">
        <v>214</v>
      </c>
      <c r="C22" s="1">
        <v>20</v>
      </c>
      <c r="E22" s="1" t="s">
        <v>213</v>
      </c>
      <c r="G22" s="96" t="str">
        <f t="shared" si="0"/>
        <v>X20</v>
      </c>
      <c r="H22" s="2" t="s">
        <v>19</v>
      </c>
      <c r="I22" s="5"/>
      <c r="K22" s="1" t="s">
        <v>101</v>
      </c>
      <c r="L22" s="1">
        <f t="shared" si="1"/>
        <v>255</v>
      </c>
      <c r="M22" s="1">
        <f t="shared" si="2"/>
        <v>255</v>
      </c>
      <c r="N22" s="1">
        <f t="shared" si="3"/>
        <v>255</v>
      </c>
      <c r="O22" s="97">
        <f t="shared" si="4"/>
        <v>0</v>
      </c>
      <c r="P22" s="97">
        <f t="shared" si="5"/>
        <v>0</v>
      </c>
      <c r="Q22" s="97">
        <f t="shared" si="6"/>
        <v>0</v>
      </c>
      <c r="R22" s="4">
        <f t="shared" si="7"/>
        <v>0</v>
      </c>
      <c r="S22" s="4">
        <f t="shared" si="8"/>
        <v>0</v>
      </c>
      <c r="T22" s="4">
        <f t="shared" si="9"/>
        <v>0</v>
      </c>
      <c r="U22" s="4">
        <f t="shared" si="10"/>
        <v>0</v>
      </c>
      <c r="V22" s="4">
        <f t="shared" si="11"/>
        <v>0</v>
      </c>
      <c r="W22" s="4">
        <f t="shared" si="12"/>
        <v>0</v>
      </c>
      <c r="X22" s="4">
        <f t="shared" si="13"/>
        <v>0</v>
      </c>
      <c r="Y22" s="4">
        <f t="shared" si="14"/>
        <v>0</v>
      </c>
    </row>
    <row r="23" spans="1:25" ht="25.5" customHeight="1" x14ac:dyDescent="0.15">
      <c r="A23" s="1">
        <v>21</v>
      </c>
      <c r="B23" s="1" t="s">
        <v>214</v>
      </c>
      <c r="C23" s="1">
        <v>20</v>
      </c>
      <c r="D23" s="2" t="s">
        <v>99</v>
      </c>
      <c r="E23" s="1" t="s">
        <v>213</v>
      </c>
      <c r="G23" s="96" t="str">
        <f t="shared" si="0"/>
        <v>X20A</v>
      </c>
      <c r="H23" s="2" t="s">
        <v>18</v>
      </c>
      <c r="I23" s="5"/>
      <c r="K23" s="1" t="s">
        <v>101</v>
      </c>
      <c r="L23" s="1">
        <f t="shared" si="1"/>
        <v>255</v>
      </c>
      <c r="M23" s="1">
        <f t="shared" si="2"/>
        <v>255</v>
      </c>
      <c r="N23" s="1">
        <f t="shared" si="3"/>
        <v>255</v>
      </c>
      <c r="O23" s="97">
        <f t="shared" si="4"/>
        <v>0</v>
      </c>
      <c r="P23" s="97">
        <f t="shared" si="5"/>
        <v>0</v>
      </c>
      <c r="Q23" s="97">
        <f t="shared" si="6"/>
        <v>0</v>
      </c>
      <c r="R23" s="4">
        <f t="shared" si="7"/>
        <v>0</v>
      </c>
      <c r="S23" s="4">
        <f t="shared" si="8"/>
        <v>0</v>
      </c>
      <c r="T23" s="4">
        <f t="shared" si="9"/>
        <v>0</v>
      </c>
      <c r="U23" s="4">
        <f t="shared" si="10"/>
        <v>0</v>
      </c>
      <c r="V23" s="4">
        <f t="shared" si="11"/>
        <v>0</v>
      </c>
      <c r="W23" s="4">
        <f t="shared" si="12"/>
        <v>0</v>
      </c>
      <c r="X23" s="4">
        <f t="shared" si="13"/>
        <v>0</v>
      </c>
      <c r="Y23" s="4">
        <f t="shared" si="14"/>
        <v>0</v>
      </c>
    </row>
    <row r="24" spans="1:25" ht="25.5" customHeight="1" x14ac:dyDescent="0.15">
      <c r="A24" s="1">
        <v>22</v>
      </c>
      <c r="B24" s="1" t="s">
        <v>214</v>
      </c>
      <c r="C24" s="1">
        <v>21</v>
      </c>
      <c r="E24" s="1" t="s">
        <v>211</v>
      </c>
      <c r="G24" s="96" t="str">
        <f t="shared" si="0"/>
        <v>X21</v>
      </c>
      <c r="H24" s="2" t="s">
        <v>20</v>
      </c>
      <c r="I24" s="5"/>
      <c r="K24" s="1" t="s">
        <v>101</v>
      </c>
      <c r="L24" s="1">
        <f t="shared" si="1"/>
        <v>255</v>
      </c>
      <c r="M24" s="1">
        <f t="shared" si="2"/>
        <v>255</v>
      </c>
      <c r="N24" s="1">
        <f t="shared" si="3"/>
        <v>255</v>
      </c>
      <c r="O24" s="97">
        <f t="shared" si="4"/>
        <v>0</v>
      </c>
      <c r="P24" s="97">
        <f t="shared" si="5"/>
        <v>0</v>
      </c>
      <c r="Q24" s="97">
        <f t="shared" si="6"/>
        <v>0</v>
      </c>
      <c r="R24" s="4">
        <f t="shared" si="7"/>
        <v>0</v>
      </c>
      <c r="S24" s="4">
        <f t="shared" si="8"/>
        <v>0</v>
      </c>
      <c r="T24" s="4">
        <f t="shared" si="9"/>
        <v>0</v>
      </c>
      <c r="U24" s="4">
        <f t="shared" si="10"/>
        <v>0</v>
      </c>
      <c r="V24" s="4">
        <f t="shared" si="11"/>
        <v>0</v>
      </c>
      <c r="W24" s="4">
        <f t="shared" si="12"/>
        <v>0</v>
      </c>
      <c r="X24" s="4">
        <f t="shared" si="13"/>
        <v>0</v>
      </c>
      <c r="Y24" s="4">
        <f t="shared" si="14"/>
        <v>0</v>
      </c>
    </row>
    <row r="25" spans="1:25" ht="25.5" customHeight="1" x14ac:dyDescent="0.15">
      <c r="A25" s="1">
        <v>23</v>
      </c>
      <c r="B25" s="1" t="s">
        <v>214</v>
      </c>
      <c r="C25" s="1">
        <v>22</v>
      </c>
      <c r="E25" s="1" t="s">
        <v>211</v>
      </c>
      <c r="G25" s="96" t="str">
        <f t="shared" si="0"/>
        <v>X22</v>
      </c>
      <c r="H25" s="2" t="s">
        <v>21</v>
      </c>
      <c r="I25" s="5"/>
      <c r="K25" s="1" t="s">
        <v>101</v>
      </c>
      <c r="L25" s="1">
        <f t="shared" si="1"/>
        <v>255</v>
      </c>
      <c r="M25" s="1">
        <f t="shared" si="2"/>
        <v>255</v>
      </c>
      <c r="N25" s="1">
        <f t="shared" si="3"/>
        <v>255</v>
      </c>
      <c r="O25" s="97">
        <f t="shared" si="4"/>
        <v>0</v>
      </c>
      <c r="P25" s="97">
        <f t="shared" si="5"/>
        <v>0</v>
      </c>
      <c r="Q25" s="97">
        <f t="shared" si="6"/>
        <v>0</v>
      </c>
      <c r="R25" s="4">
        <f t="shared" si="7"/>
        <v>0</v>
      </c>
      <c r="S25" s="4">
        <f t="shared" si="8"/>
        <v>0</v>
      </c>
      <c r="T25" s="4">
        <f t="shared" si="9"/>
        <v>0</v>
      </c>
      <c r="U25" s="4">
        <f t="shared" si="10"/>
        <v>0</v>
      </c>
      <c r="V25" s="4">
        <f t="shared" si="11"/>
        <v>0</v>
      </c>
      <c r="W25" s="4">
        <f t="shared" si="12"/>
        <v>0</v>
      </c>
      <c r="X25" s="4">
        <f t="shared" si="13"/>
        <v>0</v>
      </c>
      <c r="Y25" s="4">
        <f t="shared" si="14"/>
        <v>0</v>
      </c>
    </row>
    <row r="26" spans="1:25" ht="25.5" customHeight="1" x14ac:dyDescent="0.15">
      <c r="A26" s="1">
        <v>24</v>
      </c>
      <c r="B26" s="1" t="s">
        <v>214</v>
      </c>
      <c r="C26" s="1">
        <v>23</v>
      </c>
      <c r="E26" s="1" t="s">
        <v>211</v>
      </c>
      <c r="G26" s="96" t="str">
        <f t="shared" si="0"/>
        <v>X23</v>
      </c>
      <c r="H26" s="2" t="s">
        <v>22</v>
      </c>
      <c r="I26" s="17"/>
      <c r="K26" s="1" t="s">
        <v>112</v>
      </c>
      <c r="L26" s="1">
        <f t="shared" si="1"/>
        <v>0</v>
      </c>
      <c r="M26" s="1">
        <f t="shared" si="2"/>
        <v>166</v>
      </c>
      <c r="N26" s="1">
        <f t="shared" si="3"/>
        <v>234</v>
      </c>
      <c r="O26" s="97">
        <f t="shared" si="4"/>
        <v>1</v>
      </c>
      <c r="P26" s="97">
        <f t="shared" si="5"/>
        <v>0.34901960784313724</v>
      </c>
      <c r="Q26" s="97">
        <f t="shared" si="6"/>
        <v>8.2352941176470587E-2</v>
      </c>
      <c r="R26" s="4">
        <f t="shared" si="7"/>
        <v>1</v>
      </c>
      <c r="S26" s="4">
        <f t="shared" si="8"/>
        <v>0.29059829059829062</v>
      </c>
      <c r="T26" s="4">
        <f t="shared" si="9"/>
        <v>0</v>
      </c>
      <c r="U26" s="4">
        <f t="shared" si="10"/>
        <v>8.2352941176470587E-2</v>
      </c>
      <c r="V26" s="4">
        <f t="shared" si="11"/>
        <v>0</v>
      </c>
      <c r="W26" s="4">
        <f t="shared" si="12"/>
        <v>0</v>
      </c>
      <c r="X26" s="4">
        <f t="shared" si="13"/>
        <v>0</v>
      </c>
      <c r="Y26" s="4">
        <f t="shared" si="14"/>
        <v>0</v>
      </c>
    </row>
    <row r="27" spans="1:25" ht="25.5" customHeight="1" x14ac:dyDescent="0.15">
      <c r="A27" s="1">
        <v>25</v>
      </c>
      <c r="B27" s="1" t="s">
        <v>214</v>
      </c>
      <c r="C27" s="1">
        <v>24</v>
      </c>
      <c r="E27" s="1" t="s">
        <v>211</v>
      </c>
      <c r="G27" s="96" t="str">
        <f t="shared" si="0"/>
        <v>X24</v>
      </c>
      <c r="H27" s="2" t="s">
        <v>23</v>
      </c>
      <c r="I27" s="22"/>
      <c r="K27" s="1" t="s">
        <v>117</v>
      </c>
      <c r="L27" s="1">
        <f t="shared" si="1"/>
        <v>255</v>
      </c>
      <c r="M27" s="1">
        <f t="shared" si="2"/>
        <v>228</v>
      </c>
      <c r="N27" s="1">
        <f t="shared" si="3"/>
        <v>0</v>
      </c>
      <c r="O27" s="97">
        <f t="shared" si="4"/>
        <v>0</v>
      </c>
      <c r="P27" s="97">
        <f t="shared" si="5"/>
        <v>0.10588235294117647</v>
      </c>
      <c r="Q27" s="97">
        <f t="shared" si="6"/>
        <v>1</v>
      </c>
      <c r="R27" s="4">
        <f t="shared" si="7"/>
        <v>0</v>
      </c>
      <c r="S27" s="4">
        <f t="shared" si="8"/>
        <v>0.10588235294117647</v>
      </c>
      <c r="T27" s="4">
        <f t="shared" si="9"/>
        <v>1</v>
      </c>
      <c r="U27" s="4">
        <f t="shared" si="10"/>
        <v>0</v>
      </c>
      <c r="V27" s="4">
        <f t="shared" si="11"/>
        <v>0</v>
      </c>
      <c r="W27" s="4">
        <f t="shared" si="12"/>
        <v>0</v>
      </c>
      <c r="X27" s="4">
        <f t="shared" si="13"/>
        <v>0</v>
      </c>
      <c r="Y27" s="4">
        <f t="shared" si="14"/>
        <v>0</v>
      </c>
    </row>
    <row r="28" spans="1:25" ht="25.5" customHeight="1" x14ac:dyDescent="0.15">
      <c r="A28" s="1">
        <v>26</v>
      </c>
      <c r="B28" s="1" t="s">
        <v>214</v>
      </c>
      <c r="C28" s="1">
        <v>25</v>
      </c>
      <c r="E28" s="1" t="s">
        <v>211</v>
      </c>
      <c r="G28" s="96" t="str">
        <f t="shared" si="0"/>
        <v>X25</v>
      </c>
      <c r="H28" s="2" t="s">
        <v>28</v>
      </c>
      <c r="I28" s="23"/>
      <c r="K28" s="1" t="s">
        <v>118</v>
      </c>
      <c r="L28" s="1">
        <f t="shared" si="1"/>
        <v>0</v>
      </c>
      <c r="M28" s="1">
        <f t="shared" si="2"/>
        <v>158</v>
      </c>
      <c r="N28" s="1">
        <f t="shared" si="3"/>
        <v>65</v>
      </c>
      <c r="O28" s="97">
        <f t="shared" si="4"/>
        <v>1</v>
      </c>
      <c r="P28" s="97">
        <f t="shared" si="5"/>
        <v>0.38039215686274508</v>
      </c>
      <c r="Q28" s="97">
        <f t="shared" si="6"/>
        <v>0.74509803921568629</v>
      </c>
      <c r="R28" s="4">
        <f t="shared" si="7"/>
        <v>1</v>
      </c>
      <c r="S28" s="4">
        <f t="shared" si="8"/>
        <v>0</v>
      </c>
      <c r="T28" s="4">
        <f t="shared" si="9"/>
        <v>0.58860759493670889</v>
      </c>
      <c r="U28" s="4">
        <f t="shared" si="10"/>
        <v>0.38039215686274508</v>
      </c>
      <c r="V28" s="4">
        <f t="shared" si="11"/>
        <v>0</v>
      </c>
      <c r="W28" s="4">
        <f t="shared" si="12"/>
        <v>0</v>
      </c>
      <c r="X28" s="4">
        <f t="shared" si="13"/>
        <v>0</v>
      </c>
      <c r="Y28" s="4">
        <f t="shared" si="14"/>
        <v>0</v>
      </c>
    </row>
    <row r="29" spans="1:25" ht="25.5" customHeight="1" x14ac:dyDescent="0.15">
      <c r="A29" s="1">
        <v>27</v>
      </c>
      <c r="B29" s="1" t="s">
        <v>214</v>
      </c>
      <c r="C29" s="1">
        <v>26</v>
      </c>
      <c r="E29" s="1" t="s">
        <v>211</v>
      </c>
      <c r="G29" s="96" t="str">
        <f t="shared" si="0"/>
        <v>X26</v>
      </c>
      <c r="H29" s="2" t="s">
        <v>24</v>
      </c>
      <c r="I29" s="24"/>
      <c r="K29" s="1" t="s">
        <v>119</v>
      </c>
      <c r="L29" s="1">
        <f t="shared" si="1"/>
        <v>239</v>
      </c>
      <c r="M29" s="1">
        <f t="shared" si="2"/>
        <v>126</v>
      </c>
      <c r="N29" s="1">
        <f t="shared" si="3"/>
        <v>0</v>
      </c>
      <c r="O29" s="97">
        <f t="shared" si="4"/>
        <v>6.2745098039215685E-2</v>
      </c>
      <c r="P29" s="97">
        <f t="shared" si="5"/>
        <v>0.50588235294117645</v>
      </c>
      <c r="Q29" s="97">
        <f t="shared" si="6"/>
        <v>1</v>
      </c>
      <c r="R29" s="4">
        <f t="shared" si="7"/>
        <v>0</v>
      </c>
      <c r="S29" s="4">
        <f t="shared" si="8"/>
        <v>0.47280334728033468</v>
      </c>
      <c r="T29" s="4">
        <f t="shared" si="9"/>
        <v>1</v>
      </c>
      <c r="U29" s="4">
        <f t="shared" si="10"/>
        <v>6.2745098039215685E-2</v>
      </c>
      <c r="V29" s="4">
        <f t="shared" si="11"/>
        <v>0</v>
      </c>
      <c r="W29" s="4">
        <f t="shared" si="12"/>
        <v>0</v>
      </c>
      <c r="X29" s="4">
        <f t="shared" si="13"/>
        <v>0</v>
      </c>
      <c r="Y29" s="4">
        <f t="shared" si="14"/>
        <v>0</v>
      </c>
    </row>
    <row r="30" spans="1:25" ht="25.5" customHeight="1" x14ac:dyDescent="0.15">
      <c r="A30" s="1">
        <v>28</v>
      </c>
      <c r="B30" s="1" t="s">
        <v>214</v>
      </c>
      <c r="C30" s="1">
        <v>27</v>
      </c>
      <c r="E30" s="1" t="s">
        <v>211</v>
      </c>
      <c r="G30" s="96" t="str">
        <f t="shared" si="0"/>
        <v>X27</v>
      </c>
      <c r="H30" s="2" t="s">
        <v>25</v>
      </c>
      <c r="I30" s="25"/>
      <c r="K30" s="1" t="s">
        <v>120</v>
      </c>
      <c r="L30" s="1">
        <f t="shared" si="1"/>
        <v>230</v>
      </c>
      <c r="M30" s="1">
        <f t="shared" si="2"/>
        <v>0</v>
      </c>
      <c r="N30" s="1">
        <f t="shared" si="3"/>
        <v>57</v>
      </c>
      <c r="O30" s="97">
        <f t="shared" si="4"/>
        <v>9.8039215686274508E-2</v>
      </c>
      <c r="P30" s="97">
        <f t="shared" si="5"/>
        <v>1</v>
      </c>
      <c r="Q30" s="97">
        <f t="shared" si="6"/>
        <v>0.77647058823529413</v>
      </c>
      <c r="R30" s="4">
        <f t="shared" si="7"/>
        <v>0</v>
      </c>
      <c r="S30" s="4">
        <f t="shared" si="8"/>
        <v>1</v>
      </c>
      <c r="T30" s="4">
        <f t="shared" si="9"/>
        <v>0.75217391304347825</v>
      </c>
      <c r="U30" s="4">
        <f t="shared" si="10"/>
        <v>9.8039215686274508E-2</v>
      </c>
      <c r="V30" s="4">
        <f t="shared" si="11"/>
        <v>0</v>
      </c>
      <c r="W30" s="4">
        <f t="shared" si="12"/>
        <v>0</v>
      </c>
      <c r="X30" s="4">
        <f t="shared" si="13"/>
        <v>0</v>
      </c>
      <c r="Y30" s="4">
        <f t="shared" si="14"/>
        <v>0</v>
      </c>
    </row>
    <row r="31" spans="1:25" ht="27" customHeight="1" x14ac:dyDescent="0.15">
      <c r="A31" s="1">
        <v>29</v>
      </c>
      <c r="B31" s="1" t="s">
        <v>214</v>
      </c>
      <c r="C31" s="1">
        <v>28</v>
      </c>
      <c r="G31" s="96" t="str">
        <f t="shared" si="0"/>
        <v>X28</v>
      </c>
      <c r="H31" s="2" t="s">
        <v>26</v>
      </c>
      <c r="I31" s="26"/>
      <c r="K31" s="1" t="s">
        <v>121</v>
      </c>
      <c r="L31" s="1">
        <f t="shared" si="1"/>
        <v>0</v>
      </c>
      <c r="M31" s="1">
        <f t="shared" si="2"/>
        <v>153</v>
      </c>
      <c r="N31" s="1">
        <f t="shared" si="3"/>
        <v>68</v>
      </c>
      <c r="O31" s="97">
        <f t="shared" si="4"/>
        <v>1</v>
      </c>
      <c r="P31" s="97">
        <f t="shared" si="5"/>
        <v>0.4</v>
      </c>
      <c r="Q31" s="97">
        <f t="shared" si="6"/>
        <v>0.73333333333333328</v>
      </c>
      <c r="R31" s="4">
        <f t="shared" si="7"/>
        <v>1</v>
      </c>
      <c r="S31" s="4">
        <f t="shared" si="8"/>
        <v>0</v>
      </c>
      <c r="T31" s="4">
        <f t="shared" si="9"/>
        <v>0.55555555555555547</v>
      </c>
      <c r="U31" s="4">
        <f t="shared" si="10"/>
        <v>0.4</v>
      </c>
      <c r="V31" s="4">
        <f t="shared" si="11"/>
        <v>0</v>
      </c>
      <c r="W31" s="4">
        <f t="shared" si="12"/>
        <v>0</v>
      </c>
      <c r="X31" s="4">
        <f t="shared" si="13"/>
        <v>0</v>
      </c>
      <c r="Y31" s="4">
        <f t="shared" si="14"/>
        <v>0</v>
      </c>
    </row>
    <row r="32" spans="1:25" ht="25.5" customHeight="1" x14ac:dyDescent="0.15">
      <c r="A32" s="1">
        <v>30</v>
      </c>
      <c r="B32" s="1" t="s">
        <v>214</v>
      </c>
      <c r="C32" s="1">
        <v>31</v>
      </c>
      <c r="E32" s="1" t="s">
        <v>216</v>
      </c>
      <c r="G32" s="96" t="str">
        <f t="shared" si="0"/>
        <v>X31</v>
      </c>
      <c r="H32" s="2" t="s">
        <v>27</v>
      </c>
      <c r="I32" s="27"/>
      <c r="K32" s="1" t="s">
        <v>122</v>
      </c>
      <c r="L32" s="1">
        <f t="shared" si="1"/>
        <v>221</v>
      </c>
      <c r="M32" s="1">
        <f t="shared" si="2"/>
        <v>203</v>
      </c>
      <c r="N32" s="1">
        <f t="shared" si="3"/>
        <v>165</v>
      </c>
      <c r="O32" s="97">
        <f t="shared" si="4"/>
        <v>0.13333333333333333</v>
      </c>
      <c r="P32" s="97">
        <f t="shared" si="5"/>
        <v>0.20392156862745098</v>
      </c>
      <c r="Q32" s="97">
        <f t="shared" si="6"/>
        <v>0.35294117647058826</v>
      </c>
      <c r="R32" s="4">
        <f t="shared" si="7"/>
        <v>0</v>
      </c>
      <c r="S32" s="4">
        <f t="shared" si="8"/>
        <v>8.1447963800904979E-2</v>
      </c>
      <c r="T32" s="4">
        <f t="shared" si="9"/>
        <v>0.25339366515837108</v>
      </c>
      <c r="U32" s="4">
        <f t="shared" si="10"/>
        <v>0.13333333333333333</v>
      </c>
      <c r="V32" s="4">
        <f t="shared" si="11"/>
        <v>0</v>
      </c>
      <c r="W32" s="4">
        <f t="shared" si="12"/>
        <v>0</v>
      </c>
      <c r="X32" s="4">
        <f t="shared" si="13"/>
        <v>0</v>
      </c>
      <c r="Y32" s="4">
        <f t="shared" si="14"/>
        <v>0</v>
      </c>
    </row>
    <row r="33" spans="1:25" ht="25.5" customHeight="1" x14ac:dyDescent="0.15">
      <c r="A33" s="1">
        <v>31</v>
      </c>
      <c r="B33" s="1" t="s">
        <v>214</v>
      </c>
      <c r="C33" s="1">
        <v>32</v>
      </c>
      <c r="E33" s="1" t="s">
        <v>216</v>
      </c>
      <c r="G33" s="96" t="str">
        <f t="shared" si="0"/>
        <v>X32</v>
      </c>
      <c r="H33" s="2" t="s">
        <v>29</v>
      </c>
      <c r="I33" s="28"/>
      <c r="K33" s="1" t="s">
        <v>123</v>
      </c>
      <c r="L33" s="1">
        <f t="shared" si="1"/>
        <v>223</v>
      </c>
      <c r="M33" s="1">
        <f t="shared" si="2"/>
        <v>222</v>
      </c>
      <c r="N33" s="1">
        <f t="shared" si="3"/>
        <v>207</v>
      </c>
      <c r="O33" s="97">
        <f t="shared" si="4"/>
        <v>0.12549019607843137</v>
      </c>
      <c r="P33" s="97">
        <f t="shared" si="5"/>
        <v>0.12941176470588237</v>
      </c>
      <c r="Q33" s="97">
        <f t="shared" si="6"/>
        <v>0.18823529411764706</v>
      </c>
      <c r="R33" s="4">
        <f t="shared" si="7"/>
        <v>0</v>
      </c>
      <c r="S33" s="4">
        <f t="shared" si="8"/>
        <v>4.4843049327354416E-3</v>
      </c>
      <c r="T33" s="4">
        <f t="shared" si="9"/>
        <v>7.1748878923766815E-2</v>
      </c>
      <c r="U33" s="4">
        <f t="shared" si="10"/>
        <v>0.12549019607843137</v>
      </c>
      <c r="V33" s="4">
        <f t="shared" si="11"/>
        <v>0</v>
      </c>
      <c r="W33" s="4">
        <f t="shared" si="12"/>
        <v>0</v>
      </c>
      <c r="X33" s="4">
        <f t="shared" si="13"/>
        <v>0</v>
      </c>
      <c r="Y33" s="4">
        <f t="shared" si="14"/>
        <v>0</v>
      </c>
    </row>
    <row r="34" spans="1:25" ht="27" customHeight="1" x14ac:dyDescent="0.15">
      <c r="A34" s="1">
        <v>32</v>
      </c>
      <c r="B34" s="1" t="s">
        <v>214</v>
      </c>
      <c r="C34" s="1">
        <v>33</v>
      </c>
      <c r="G34" s="96" t="str">
        <f t="shared" si="0"/>
        <v>X33</v>
      </c>
      <c r="H34" s="2" t="s">
        <v>30</v>
      </c>
      <c r="I34" s="29"/>
      <c r="K34" s="1" t="s">
        <v>124</v>
      </c>
      <c r="L34" s="1">
        <f t="shared" si="1"/>
        <v>135</v>
      </c>
      <c r="M34" s="1">
        <f t="shared" si="2"/>
        <v>117</v>
      </c>
      <c r="N34" s="1">
        <f t="shared" si="3"/>
        <v>116</v>
      </c>
      <c r="O34" s="97">
        <f t="shared" si="4"/>
        <v>0.47058823529411764</v>
      </c>
      <c r="P34" s="97">
        <f t="shared" si="5"/>
        <v>0.54117647058823526</v>
      </c>
      <c r="Q34" s="97">
        <f t="shared" si="6"/>
        <v>0.54509803921568623</v>
      </c>
      <c r="R34" s="4">
        <f t="shared" si="7"/>
        <v>0</v>
      </c>
      <c r="S34" s="4">
        <f t="shared" si="8"/>
        <v>0.13333333333333328</v>
      </c>
      <c r="T34" s="4">
        <f t="shared" si="9"/>
        <v>0.14074074074074067</v>
      </c>
      <c r="U34" s="4">
        <f t="shared" si="10"/>
        <v>0.47058823529411764</v>
      </c>
      <c r="V34" s="4">
        <f t="shared" si="11"/>
        <v>0</v>
      </c>
      <c r="W34" s="4">
        <f t="shared" si="12"/>
        <v>0</v>
      </c>
      <c r="X34" s="4">
        <f t="shared" si="13"/>
        <v>0</v>
      </c>
      <c r="Y34" s="4">
        <f t="shared" si="14"/>
        <v>0</v>
      </c>
    </row>
    <row r="35" spans="1:25" ht="27" customHeight="1" x14ac:dyDescent="0.15">
      <c r="A35" s="1">
        <v>33</v>
      </c>
      <c r="B35" s="1" t="s">
        <v>214</v>
      </c>
      <c r="C35" s="1">
        <v>34</v>
      </c>
      <c r="G35" s="96" t="str">
        <f t="shared" ref="G35:G66" si="15">B35&amp;C35&amp;D35</f>
        <v>X34</v>
      </c>
      <c r="H35" s="2" t="s">
        <v>31</v>
      </c>
      <c r="I35" s="30"/>
      <c r="K35" s="1" t="s">
        <v>125</v>
      </c>
      <c r="L35" s="1">
        <f t="shared" ref="L35:L66" si="16">HEX2DEC(MID(K35,9,2))</f>
        <v>192</v>
      </c>
      <c r="M35" s="1">
        <f t="shared" ref="M35:M66" si="17">HEX2DEC(MID(K35,7,2))</f>
        <v>86</v>
      </c>
      <c r="N35" s="1">
        <f t="shared" ref="N35:N66" si="18">HEX2DEC(MID(K35,5,2))</f>
        <v>9</v>
      </c>
      <c r="O35" s="97">
        <f t="shared" ref="O35:O66" si="19">(255-L35)/255</f>
        <v>0.24705882352941178</v>
      </c>
      <c r="P35" s="97">
        <f t="shared" ref="P35:P66" si="20">(255-M35)/255</f>
        <v>0.66274509803921566</v>
      </c>
      <c r="Q35" s="97">
        <f t="shared" ref="Q35:Q66" si="21">(255-N35)/255</f>
        <v>0.96470588235294119</v>
      </c>
      <c r="R35" s="4">
        <f t="shared" ref="R35:R66" si="22">(O35-U35)/(1-U35)</f>
        <v>0</v>
      </c>
      <c r="S35" s="4">
        <f t="shared" ref="S35:S66" si="23">(P35-U35)/(1-U35)</f>
        <v>0.55208333333333326</v>
      </c>
      <c r="T35" s="4">
        <f t="shared" ref="T35:T66" si="24">(Q35-U35)/(1-U35)</f>
        <v>0.953125</v>
      </c>
      <c r="U35" s="4">
        <f t="shared" ref="U35:U66" si="25">MIN(O35,P35,Q35)</f>
        <v>0.24705882352941178</v>
      </c>
      <c r="V35" s="4">
        <f t="shared" ref="V35:V66" si="26">J35*R35</f>
        <v>0</v>
      </c>
      <c r="W35" s="4">
        <f t="shared" ref="W35:W66" si="27">J35*S35</f>
        <v>0</v>
      </c>
      <c r="X35" s="4">
        <f t="shared" ref="X35:X66" si="28">J35*T35</f>
        <v>0</v>
      </c>
      <c r="Y35" s="4">
        <f t="shared" ref="Y35:Y66" si="29">J35*U35</f>
        <v>0</v>
      </c>
    </row>
    <row r="36" spans="1:25" ht="25.5" customHeight="1" x14ac:dyDescent="0.15">
      <c r="A36" s="1">
        <v>34</v>
      </c>
      <c r="B36" s="1" t="s">
        <v>214</v>
      </c>
      <c r="C36" s="1">
        <v>35</v>
      </c>
      <c r="E36" s="1" t="s">
        <v>211</v>
      </c>
      <c r="G36" s="96" t="str">
        <f t="shared" si="15"/>
        <v>X35</v>
      </c>
      <c r="H36" s="2" t="s">
        <v>208</v>
      </c>
      <c r="I36" s="5"/>
      <c r="K36" s="1" t="s">
        <v>101</v>
      </c>
      <c r="L36" s="1">
        <f t="shared" si="16"/>
        <v>255</v>
      </c>
      <c r="M36" s="1">
        <f t="shared" si="17"/>
        <v>255</v>
      </c>
      <c r="N36" s="1">
        <f t="shared" si="18"/>
        <v>255</v>
      </c>
      <c r="O36" s="97">
        <f t="shared" si="19"/>
        <v>0</v>
      </c>
      <c r="P36" s="97">
        <f t="shared" si="20"/>
        <v>0</v>
      </c>
      <c r="Q36" s="97">
        <f t="shared" si="21"/>
        <v>0</v>
      </c>
      <c r="R36" s="4">
        <f t="shared" si="22"/>
        <v>0</v>
      </c>
      <c r="S36" s="4">
        <f t="shared" si="23"/>
        <v>0</v>
      </c>
      <c r="T36" s="4">
        <f t="shared" si="24"/>
        <v>0</v>
      </c>
      <c r="U36" s="4">
        <f t="shared" si="25"/>
        <v>0</v>
      </c>
      <c r="V36" s="4">
        <f t="shared" si="26"/>
        <v>0</v>
      </c>
      <c r="W36" s="4">
        <f t="shared" si="27"/>
        <v>0</v>
      </c>
      <c r="X36" s="4">
        <f t="shared" si="28"/>
        <v>0</v>
      </c>
      <c r="Y36" s="4">
        <f t="shared" si="29"/>
        <v>0</v>
      </c>
    </row>
    <row r="37" spans="1:25" ht="27" customHeight="1" x14ac:dyDescent="0.15">
      <c r="A37" s="1">
        <v>35</v>
      </c>
      <c r="B37" s="1" t="s">
        <v>215</v>
      </c>
      <c r="C37" s="1">
        <v>1</v>
      </c>
      <c r="G37" s="96" t="str">
        <f t="shared" si="15"/>
        <v>XF1</v>
      </c>
      <c r="H37" s="2" t="s">
        <v>32</v>
      </c>
      <c r="I37" s="3"/>
      <c r="K37" s="1" t="s">
        <v>100</v>
      </c>
      <c r="L37" s="1">
        <f t="shared" si="16"/>
        <v>35</v>
      </c>
      <c r="M37" s="1">
        <f t="shared" si="17"/>
        <v>25</v>
      </c>
      <c r="N37" s="1">
        <f t="shared" si="18"/>
        <v>22</v>
      </c>
      <c r="O37" s="97">
        <f t="shared" si="19"/>
        <v>0.86274509803921573</v>
      </c>
      <c r="P37" s="97">
        <f t="shared" si="20"/>
        <v>0.90196078431372551</v>
      </c>
      <c r="Q37" s="97">
        <f t="shared" si="21"/>
        <v>0.9137254901960784</v>
      </c>
      <c r="R37" s="4">
        <f t="shared" si="22"/>
        <v>0</v>
      </c>
      <c r="S37" s="4">
        <f t="shared" si="23"/>
        <v>0.28571428571428559</v>
      </c>
      <c r="T37" s="4">
        <f t="shared" si="24"/>
        <v>0.37142857142857105</v>
      </c>
      <c r="U37" s="4">
        <f t="shared" si="25"/>
        <v>0.86274509803921573</v>
      </c>
      <c r="V37" s="4">
        <f t="shared" si="26"/>
        <v>0</v>
      </c>
      <c r="W37" s="4">
        <f t="shared" si="27"/>
        <v>0</v>
      </c>
      <c r="X37" s="4">
        <f t="shared" si="28"/>
        <v>0</v>
      </c>
      <c r="Y37" s="4">
        <f t="shared" si="29"/>
        <v>0</v>
      </c>
    </row>
    <row r="38" spans="1:25" ht="27" customHeight="1" x14ac:dyDescent="0.15">
      <c r="A38" s="1">
        <v>36</v>
      </c>
      <c r="B38" s="1" t="s">
        <v>215</v>
      </c>
      <c r="C38" s="1">
        <v>2</v>
      </c>
      <c r="G38" s="96" t="str">
        <f t="shared" si="15"/>
        <v>XF2</v>
      </c>
      <c r="H38" s="2" t="s">
        <v>33</v>
      </c>
      <c r="I38" s="5"/>
      <c r="K38" s="1" t="s">
        <v>101</v>
      </c>
      <c r="L38" s="1">
        <f t="shared" si="16"/>
        <v>255</v>
      </c>
      <c r="M38" s="1">
        <f t="shared" si="17"/>
        <v>255</v>
      </c>
      <c r="N38" s="1">
        <f t="shared" si="18"/>
        <v>255</v>
      </c>
      <c r="O38" s="97">
        <f t="shared" si="19"/>
        <v>0</v>
      </c>
      <c r="P38" s="97">
        <f t="shared" si="20"/>
        <v>0</v>
      </c>
      <c r="Q38" s="97">
        <f t="shared" si="21"/>
        <v>0</v>
      </c>
      <c r="R38" s="4">
        <f t="shared" si="22"/>
        <v>0</v>
      </c>
      <c r="S38" s="4">
        <f t="shared" si="23"/>
        <v>0</v>
      </c>
      <c r="T38" s="4">
        <f t="shared" si="24"/>
        <v>0</v>
      </c>
      <c r="U38" s="4">
        <f t="shared" si="25"/>
        <v>0</v>
      </c>
      <c r="V38" s="4">
        <f t="shared" si="26"/>
        <v>0</v>
      </c>
      <c r="W38" s="4">
        <f t="shared" si="27"/>
        <v>0</v>
      </c>
      <c r="X38" s="4">
        <f t="shared" si="28"/>
        <v>0</v>
      </c>
      <c r="Y38" s="4">
        <f t="shared" si="29"/>
        <v>0</v>
      </c>
    </row>
    <row r="39" spans="1:25" ht="27" customHeight="1" x14ac:dyDescent="0.15">
      <c r="A39" s="1">
        <v>37</v>
      </c>
      <c r="B39" s="1" t="s">
        <v>215</v>
      </c>
      <c r="C39" s="1">
        <v>3</v>
      </c>
      <c r="G39" s="96" t="str">
        <f t="shared" si="15"/>
        <v>XF3</v>
      </c>
      <c r="H39" s="2" t="s">
        <v>34</v>
      </c>
      <c r="I39" s="31"/>
      <c r="K39" s="1" t="s">
        <v>126</v>
      </c>
      <c r="L39" s="1">
        <f t="shared" si="16"/>
        <v>255</v>
      </c>
      <c r="M39" s="1">
        <f t="shared" si="17"/>
        <v>225</v>
      </c>
      <c r="N39" s="1">
        <f t="shared" si="18"/>
        <v>0</v>
      </c>
      <c r="O39" s="97">
        <f t="shared" si="19"/>
        <v>0</v>
      </c>
      <c r="P39" s="97">
        <f t="shared" si="20"/>
        <v>0.11764705882352941</v>
      </c>
      <c r="Q39" s="97">
        <f t="shared" si="21"/>
        <v>1</v>
      </c>
      <c r="R39" s="4">
        <f t="shared" si="22"/>
        <v>0</v>
      </c>
      <c r="S39" s="4">
        <f t="shared" si="23"/>
        <v>0.11764705882352941</v>
      </c>
      <c r="T39" s="4">
        <f t="shared" si="24"/>
        <v>1</v>
      </c>
      <c r="U39" s="4">
        <f t="shared" si="25"/>
        <v>0</v>
      </c>
      <c r="V39" s="4">
        <f t="shared" si="26"/>
        <v>0</v>
      </c>
      <c r="W39" s="4">
        <f t="shared" si="27"/>
        <v>0</v>
      </c>
      <c r="X39" s="4">
        <f t="shared" si="28"/>
        <v>0</v>
      </c>
      <c r="Y39" s="4">
        <f t="shared" si="29"/>
        <v>0</v>
      </c>
    </row>
    <row r="40" spans="1:25" ht="27" customHeight="1" x14ac:dyDescent="0.15">
      <c r="A40" s="1">
        <v>38</v>
      </c>
      <c r="B40" s="1" t="s">
        <v>215</v>
      </c>
      <c r="C40" s="1">
        <v>4</v>
      </c>
      <c r="G40" s="96" t="str">
        <f t="shared" si="15"/>
        <v>XF4</v>
      </c>
      <c r="H40" s="2" t="s">
        <v>35</v>
      </c>
      <c r="I40" s="32"/>
      <c r="K40" s="1" t="s">
        <v>127</v>
      </c>
      <c r="L40" s="1">
        <f t="shared" si="16"/>
        <v>185</v>
      </c>
      <c r="M40" s="1">
        <f t="shared" si="17"/>
        <v>195</v>
      </c>
      <c r="N40" s="1">
        <f t="shared" si="18"/>
        <v>36</v>
      </c>
      <c r="O40" s="97">
        <f t="shared" si="19"/>
        <v>0.27450980392156865</v>
      </c>
      <c r="P40" s="97">
        <f t="shared" si="20"/>
        <v>0.23529411764705882</v>
      </c>
      <c r="Q40" s="97">
        <f t="shared" si="21"/>
        <v>0.85882352941176465</v>
      </c>
      <c r="R40" s="4">
        <f t="shared" si="22"/>
        <v>5.1282051282051322E-2</v>
      </c>
      <c r="S40" s="4">
        <f t="shared" si="23"/>
        <v>0</v>
      </c>
      <c r="T40" s="4">
        <f t="shared" si="24"/>
        <v>0.81538461538461549</v>
      </c>
      <c r="U40" s="4">
        <f t="shared" si="25"/>
        <v>0.23529411764705882</v>
      </c>
      <c r="V40" s="4">
        <f t="shared" si="26"/>
        <v>0</v>
      </c>
      <c r="W40" s="4">
        <f t="shared" si="27"/>
        <v>0</v>
      </c>
      <c r="X40" s="4">
        <f t="shared" si="28"/>
        <v>0</v>
      </c>
      <c r="Y40" s="4">
        <f t="shared" si="29"/>
        <v>0</v>
      </c>
    </row>
    <row r="41" spans="1:25" ht="27" customHeight="1" x14ac:dyDescent="0.15">
      <c r="A41" s="1">
        <v>39</v>
      </c>
      <c r="B41" s="1" t="s">
        <v>215</v>
      </c>
      <c r="C41" s="1">
        <v>5</v>
      </c>
      <c r="G41" s="96" t="str">
        <f t="shared" si="15"/>
        <v>XF5</v>
      </c>
      <c r="H41" s="2" t="s">
        <v>36</v>
      </c>
      <c r="I41" s="33"/>
      <c r="K41" s="1" t="s">
        <v>128</v>
      </c>
      <c r="L41" s="1">
        <f t="shared" si="16"/>
        <v>91</v>
      </c>
      <c r="M41" s="1">
        <f t="shared" si="17"/>
        <v>132</v>
      </c>
      <c r="N41" s="1">
        <f t="shared" si="18"/>
        <v>97</v>
      </c>
      <c r="O41" s="97">
        <f t="shared" si="19"/>
        <v>0.64313725490196083</v>
      </c>
      <c r="P41" s="97">
        <f t="shared" si="20"/>
        <v>0.4823529411764706</v>
      </c>
      <c r="Q41" s="97">
        <f t="shared" si="21"/>
        <v>0.61960784313725492</v>
      </c>
      <c r="R41" s="4">
        <f t="shared" si="22"/>
        <v>0.31060606060606072</v>
      </c>
      <c r="S41" s="4">
        <f t="shared" si="23"/>
        <v>0</v>
      </c>
      <c r="T41" s="4">
        <f t="shared" si="24"/>
        <v>0.26515151515151519</v>
      </c>
      <c r="U41" s="4">
        <f t="shared" si="25"/>
        <v>0.4823529411764706</v>
      </c>
      <c r="V41" s="4">
        <f t="shared" si="26"/>
        <v>0</v>
      </c>
      <c r="W41" s="4">
        <f t="shared" si="27"/>
        <v>0</v>
      </c>
      <c r="X41" s="4">
        <f t="shared" si="28"/>
        <v>0</v>
      </c>
      <c r="Y41" s="4">
        <f t="shared" si="29"/>
        <v>0</v>
      </c>
    </row>
    <row r="42" spans="1:25" ht="25.5" customHeight="1" x14ac:dyDescent="0.15">
      <c r="A42" s="1">
        <v>40</v>
      </c>
      <c r="B42" s="1" t="s">
        <v>215</v>
      </c>
      <c r="C42" s="1">
        <v>6</v>
      </c>
      <c r="E42" s="1" t="s">
        <v>216</v>
      </c>
      <c r="G42" s="96" t="str">
        <f t="shared" si="15"/>
        <v>XF6</v>
      </c>
      <c r="H42" s="2" t="s">
        <v>37</v>
      </c>
      <c r="I42" s="34"/>
      <c r="K42" s="1" t="s">
        <v>129</v>
      </c>
      <c r="L42" s="1">
        <f t="shared" si="16"/>
        <v>197</v>
      </c>
      <c r="M42" s="1">
        <f t="shared" si="17"/>
        <v>77</v>
      </c>
      <c r="N42" s="1">
        <f t="shared" si="18"/>
        <v>39</v>
      </c>
      <c r="O42" s="97">
        <f t="shared" si="19"/>
        <v>0.22745098039215686</v>
      </c>
      <c r="P42" s="97">
        <f t="shared" si="20"/>
        <v>0.69803921568627447</v>
      </c>
      <c r="Q42" s="97">
        <f t="shared" si="21"/>
        <v>0.84705882352941175</v>
      </c>
      <c r="R42" s="4">
        <f t="shared" si="22"/>
        <v>0</v>
      </c>
      <c r="S42" s="4">
        <f t="shared" si="23"/>
        <v>0.60913705583756339</v>
      </c>
      <c r="T42" s="4">
        <f t="shared" si="24"/>
        <v>0.80203045685279184</v>
      </c>
      <c r="U42" s="4">
        <f t="shared" si="25"/>
        <v>0.22745098039215686</v>
      </c>
      <c r="V42" s="4">
        <f t="shared" si="26"/>
        <v>0</v>
      </c>
      <c r="W42" s="4">
        <f t="shared" si="27"/>
        <v>0</v>
      </c>
      <c r="X42" s="4">
        <f t="shared" si="28"/>
        <v>0</v>
      </c>
      <c r="Y42" s="4">
        <f t="shared" si="29"/>
        <v>0</v>
      </c>
    </row>
    <row r="43" spans="1:25" ht="27" customHeight="1" x14ac:dyDescent="0.15">
      <c r="A43" s="1">
        <v>41</v>
      </c>
      <c r="B43" s="1" t="s">
        <v>215</v>
      </c>
      <c r="C43" s="1">
        <v>7</v>
      </c>
      <c r="G43" s="96" t="str">
        <f t="shared" si="15"/>
        <v>XF7</v>
      </c>
      <c r="H43" s="2" t="s">
        <v>38</v>
      </c>
      <c r="I43" s="35"/>
      <c r="K43" s="1" t="s">
        <v>130</v>
      </c>
      <c r="L43" s="1">
        <f t="shared" si="16"/>
        <v>230</v>
      </c>
      <c r="M43" s="1">
        <f t="shared" si="17"/>
        <v>0</v>
      </c>
      <c r="N43" s="1">
        <f t="shared" si="18"/>
        <v>29</v>
      </c>
      <c r="O43" s="97">
        <f t="shared" si="19"/>
        <v>9.8039215686274508E-2</v>
      </c>
      <c r="P43" s="97">
        <f t="shared" si="20"/>
        <v>1</v>
      </c>
      <c r="Q43" s="97">
        <f t="shared" si="21"/>
        <v>0.88627450980392153</v>
      </c>
      <c r="R43" s="4">
        <f t="shared" si="22"/>
        <v>0</v>
      </c>
      <c r="S43" s="4">
        <f t="shared" si="23"/>
        <v>1</v>
      </c>
      <c r="T43" s="4">
        <f t="shared" si="24"/>
        <v>0.87391304347826082</v>
      </c>
      <c r="U43" s="4">
        <f t="shared" si="25"/>
        <v>9.8039215686274508E-2</v>
      </c>
      <c r="V43" s="4">
        <f t="shared" si="26"/>
        <v>0</v>
      </c>
      <c r="W43" s="4">
        <f t="shared" si="27"/>
        <v>0</v>
      </c>
      <c r="X43" s="4">
        <f t="shared" si="28"/>
        <v>0</v>
      </c>
      <c r="Y43" s="4">
        <f t="shared" si="29"/>
        <v>0</v>
      </c>
    </row>
    <row r="44" spans="1:25" ht="27" customHeight="1" x14ac:dyDescent="0.15">
      <c r="A44" s="1">
        <v>42</v>
      </c>
      <c r="B44" s="1" t="s">
        <v>215</v>
      </c>
      <c r="C44" s="1">
        <v>8</v>
      </c>
      <c r="G44" s="96" t="str">
        <f t="shared" si="15"/>
        <v>XF8</v>
      </c>
      <c r="H44" s="2" t="s">
        <v>39</v>
      </c>
      <c r="I44" s="36"/>
      <c r="K44" s="1" t="s">
        <v>131</v>
      </c>
      <c r="L44" s="1">
        <f t="shared" si="16"/>
        <v>0</v>
      </c>
      <c r="M44" s="1">
        <f t="shared" si="17"/>
        <v>105</v>
      </c>
      <c r="N44" s="1">
        <f t="shared" si="18"/>
        <v>149</v>
      </c>
      <c r="O44" s="97">
        <f t="shared" si="19"/>
        <v>1</v>
      </c>
      <c r="P44" s="97">
        <f t="shared" si="20"/>
        <v>0.58823529411764708</v>
      </c>
      <c r="Q44" s="97">
        <f t="shared" si="21"/>
        <v>0.41568627450980394</v>
      </c>
      <c r="R44" s="4">
        <f t="shared" si="22"/>
        <v>1</v>
      </c>
      <c r="S44" s="4">
        <f t="shared" si="23"/>
        <v>0.29530201342281881</v>
      </c>
      <c r="T44" s="4">
        <f t="shared" si="24"/>
        <v>0</v>
      </c>
      <c r="U44" s="4">
        <f t="shared" si="25"/>
        <v>0.41568627450980394</v>
      </c>
      <c r="V44" s="4">
        <f t="shared" si="26"/>
        <v>0</v>
      </c>
      <c r="W44" s="4">
        <f t="shared" si="27"/>
        <v>0</v>
      </c>
      <c r="X44" s="4">
        <f t="shared" si="28"/>
        <v>0</v>
      </c>
      <c r="Y44" s="4">
        <f t="shared" si="29"/>
        <v>0</v>
      </c>
    </row>
    <row r="45" spans="1:25" ht="27" customHeight="1" x14ac:dyDescent="0.15">
      <c r="A45" s="1">
        <v>43</v>
      </c>
      <c r="B45" s="1" t="s">
        <v>215</v>
      </c>
      <c r="C45" s="1">
        <v>9</v>
      </c>
      <c r="G45" s="96" t="str">
        <f t="shared" si="15"/>
        <v>XF9</v>
      </c>
      <c r="H45" s="2" t="s">
        <v>40</v>
      </c>
      <c r="I45" s="37"/>
      <c r="K45" s="1" t="s">
        <v>132</v>
      </c>
      <c r="L45" s="1">
        <f t="shared" si="16"/>
        <v>97</v>
      </c>
      <c r="M45" s="1">
        <f t="shared" si="17"/>
        <v>45</v>
      </c>
      <c r="N45" s="1">
        <f t="shared" si="18"/>
        <v>49</v>
      </c>
      <c r="O45" s="97">
        <f t="shared" si="19"/>
        <v>0.61960784313725492</v>
      </c>
      <c r="P45" s="97">
        <f t="shared" si="20"/>
        <v>0.82352941176470584</v>
      </c>
      <c r="Q45" s="97">
        <f t="shared" si="21"/>
        <v>0.80784313725490198</v>
      </c>
      <c r="R45" s="4">
        <f t="shared" si="22"/>
        <v>0</v>
      </c>
      <c r="S45" s="4">
        <f t="shared" si="23"/>
        <v>0.536082474226804</v>
      </c>
      <c r="T45" s="4">
        <f t="shared" si="24"/>
        <v>0.49484536082474229</v>
      </c>
      <c r="U45" s="4">
        <f t="shared" si="25"/>
        <v>0.61960784313725492</v>
      </c>
      <c r="V45" s="4">
        <f t="shared" si="26"/>
        <v>0</v>
      </c>
      <c r="W45" s="4">
        <f t="shared" si="27"/>
        <v>0</v>
      </c>
      <c r="X45" s="4">
        <f t="shared" si="28"/>
        <v>0</v>
      </c>
      <c r="Y45" s="4">
        <f t="shared" si="29"/>
        <v>0</v>
      </c>
    </row>
    <row r="46" spans="1:25" ht="27" customHeight="1" x14ac:dyDescent="0.15">
      <c r="A46" s="1">
        <v>44</v>
      </c>
      <c r="B46" s="1" t="s">
        <v>215</v>
      </c>
      <c r="C46" s="1">
        <v>10</v>
      </c>
      <c r="G46" s="96" t="str">
        <f t="shared" si="15"/>
        <v>XF10</v>
      </c>
      <c r="H46" s="2" t="s">
        <v>41</v>
      </c>
      <c r="I46" s="38"/>
      <c r="K46" s="1" t="s">
        <v>133</v>
      </c>
      <c r="L46" s="1">
        <f t="shared" si="16"/>
        <v>79</v>
      </c>
      <c r="M46" s="1">
        <f t="shared" si="17"/>
        <v>57</v>
      </c>
      <c r="N46" s="1">
        <f t="shared" si="18"/>
        <v>51</v>
      </c>
      <c r="O46" s="97">
        <f t="shared" si="19"/>
        <v>0.69019607843137254</v>
      </c>
      <c r="P46" s="97">
        <f t="shared" si="20"/>
        <v>0.77647058823529413</v>
      </c>
      <c r="Q46" s="97">
        <f t="shared" si="21"/>
        <v>0.8</v>
      </c>
      <c r="R46" s="4">
        <f t="shared" si="22"/>
        <v>0</v>
      </c>
      <c r="S46" s="4">
        <f t="shared" si="23"/>
        <v>0.27848101265822794</v>
      </c>
      <c r="T46" s="4">
        <f t="shared" si="24"/>
        <v>0.35443037974683561</v>
      </c>
      <c r="U46" s="4">
        <f t="shared" si="25"/>
        <v>0.69019607843137254</v>
      </c>
      <c r="V46" s="4">
        <f t="shared" si="26"/>
        <v>0</v>
      </c>
      <c r="W46" s="4">
        <f t="shared" si="27"/>
        <v>0</v>
      </c>
      <c r="X46" s="4">
        <f t="shared" si="28"/>
        <v>0</v>
      </c>
      <c r="Y46" s="4">
        <f t="shared" si="29"/>
        <v>0</v>
      </c>
    </row>
    <row r="47" spans="1:25" ht="27" customHeight="1" x14ac:dyDescent="0.15">
      <c r="A47" s="1">
        <v>45</v>
      </c>
      <c r="B47" s="1" t="s">
        <v>215</v>
      </c>
      <c r="C47" s="1">
        <v>11</v>
      </c>
      <c r="G47" s="96" t="str">
        <f t="shared" si="15"/>
        <v>XF11</v>
      </c>
      <c r="H47" s="2" t="s">
        <v>42</v>
      </c>
      <c r="I47" s="39"/>
      <c r="K47" s="1" t="s">
        <v>134</v>
      </c>
      <c r="L47" s="1">
        <f t="shared" si="16"/>
        <v>0</v>
      </c>
      <c r="M47" s="1">
        <f t="shared" si="17"/>
        <v>71</v>
      </c>
      <c r="N47" s="1">
        <f t="shared" si="18"/>
        <v>58</v>
      </c>
      <c r="O47" s="97">
        <f t="shared" si="19"/>
        <v>1</v>
      </c>
      <c r="P47" s="97">
        <f t="shared" si="20"/>
        <v>0.72156862745098038</v>
      </c>
      <c r="Q47" s="97">
        <f t="shared" si="21"/>
        <v>0.77254901960784317</v>
      </c>
      <c r="R47" s="4">
        <f t="shared" si="22"/>
        <v>1</v>
      </c>
      <c r="S47" s="4">
        <f t="shared" si="23"/>
        <v>0</v>
      </c>
      <c r="T47" s="4">
        <f t="shared" si="24"/>
        <v>0.18309859154929592</v>
      </c>
      <c r="U47" s="4">
        <f t="shared" si="25"/>
        <v>0.72156862745098038</v>
      </c>
      <c r="V47" s="4">
        <f t="shared" si="26"/>
        <v>0</v>
      </c>
      <c r="W47" s="4">
        <f t="shared" si="27"/>
        <v>0</v>
      </c>
      <c r="X47" s="4">
        <f t="shared" si="28"/>
        <v>0</v>
      </c>
      <c r="Y47" s="4">
        <f t="shared" si="29"/>
        <v>0</v>
      </c>
    </row>
    <row r="48" spans="1:25" ht="27" customHeight="1" x14ac:dyDescent="0.15">
      <c r="A48" s="1">
        <v>46</v>
      </c>
      <c r="B48" s="1" t="s">
        <v>215</v>
      </c>
      <c r="C48" s="1">
        <v>12</v>
      </c>
      <c r="G48" s="96" t="str">
        <f t="shared" si="15"/>
        <v>XF12</v>
      </c>
      <c r="H48" s="2" t="s">
        <v>43</v>
      </c>
      <c r="I48" s="40"/>
      <c r="K48" s="1" t="s">
        <v>135</v>
      </c>
      <c r="L48" s="1">
        <f t="shared" si="16"/>
        <v>201</v>
      </c>
      <c r="M48" s="1">
        <f t="shared" si="17"/>
        <v>210</v>
      </c>
      <c r="N48" s="1">
        <f t="shared" si="18"/>
        <v>194</v>
      </c>
      <c r="O48" s="97">
        <f t="shared" si="19"/>
        <v>0.21176470588235294</v>
      </c>
      <c r="P48" s="97">
        <f t="shared" si="20"/>
        <v>0.17647058823529413</v>
      </c>
      <c r="Q48" s="97">
        <f t="shared" si="21"/>
        <v>0.23921568627450981</v>
      </c>
      <c r="R48" s="4">
        <f t="shared" si="22"/>
        <v>4.2857142857142844E-2</v>
      </c>
      <c r="S48" s="4">
        <f t="shared" si="23"/>
        <v>0</v>
      </c>
      <c r="T48" s="4">
        <f t="shared" si="24"/>
        <v>7.6190476190476197E-2</v>
      </c>
      <c r="U48" s="4">
        <f t="shared" si="25"/>
        <v>0.17647058823529413</v>
      </c>
      <c r="V48" s="4">
        <f t="shared" si="26"/>
        <v>0</v>
      </c>
      <c r="W48" s="4">
        <f t="shared" si="27"/>
        <v>0</v>
      </c>
      <c r="X48" s="4">
        <f t="shared" si="28"/>
        <v>0</v>
      </c>
      <c r="Y48" s="4">
        <f t="shared" si="29"/>
        <v>0</v>
      </c>
    </row>
    <row r="49" spans="1:25" ht="27" customHeight="1" x14ac:dyDescent="0.15">
      <c r="A49" s="1">
        <v>47</v>
      </c>
      <c r="B49" s="1" t="s">
        <v>215</v>
      </c>
      <c r="C49" s="1">
        <v>13</v>
      </c>
      <c r="G49" s="96" t="str">
        <f t="shared" si="15"/>
        <v>XF13</v>
      </c>
      <c r="H49" s="2" t="s">
        <v>44</v>
      </c>
      <c r="I49" s="41"/>
      <c r="K49" s="1" t="s">
        <v>136</v>
      </c>
      <c r="L49" s="1">
        <f t="shared" si="16"/>
        <v>7</v>
      </c>
      <c r="M49" s="1">
        <f t="shared" si="17"/>
        <v>69</v>
      </c>
      <c r="N49" s="1">
        <f t="shared" si="18"/>
        <v>66</v>
      </c>
      <c r="O49" s="97">
        <f t="shared" si="19"/>
        <v>0.97254901960784312</v>
      </c>
      <c r="P49" s="97">
        <f t="shared" si="20"/>
        <v>0.72941176470588232</v>
      </c>
      <c r="Q49" s="97">
        <f t="shared" si="21"/>
        <v>0.74117647058823533</v>
      </c>
      <c r="R49" s="4">
        <f t="shared" si="22"/>
        <v>0.89855072463768115</v>
      </c>
      <c r="S49" s="4">
        <f t="shared" si="23"/>
        <v>0</v>
      </c>
      <c r="T49" s="4">
        <f t="shared" si="24"/>
        <v>4.3478260869565466E-2</v>
      </c>
      <c r="U49" s="4">
        <f t="shared" si="25"/>
        <v>0.72941176470588232</v>
      </c>
      <c r="V49" s="4">
        <f t="shared" si="26"/>
        <v>0</v>
      </c>
      <c r="W49" s="4">
        <f t="shared" si="27"/>
        <v>0</v>
      </c>
      <c r="X49" s="4">
        <f t="shared" si="28"/>
        <v>0</v>
      </c>
      <c r="Y49" s="4">
        <f t="shared" si="29"/>
        <v>0</v>
      </c>
    </row>
    <row r="50" spans="1:25" ht="27" customHeight="1" x14ac:dyDescent="0.15">
      <c r="A50" s="1">
        <v>48</v>
      </c>
      <c r="B50" s="1" t="s">
        <v>215</v>
      </c>
      <c r="C50" s="1">
        <v>14</v>
      </c>
      <c r="G50" s="96" t="str">
        <f t="shared" si="15"/>
        <v>XF14</v>
      </c>
      <c r="H50" s="2" t="s">
        <v>45</v>
      </c>
      <c r="I50" s="42"/>
      <c r="K50" s="1" t="s">
        <v>137</v>
      </c>
      <c r="L50" s="1">
        <f t="shared" si="16"/>
        <v>237</v>
      </c>
      <c r="M50" s="1">
        <f t="shared" si="17"/>
        <v>235</v>
      </c>
      <c r="N50" s="1">
        <f t="shared" si="18"/>
        <v>216</v>
      </c>
      <c r="O50" s="97">
        <f t="shared" si="19"/>
        <v>7.0588235294117646E-2</v>
      </c>
      <c r="P50" s="97">
        <f t="shared" si="20"/>
        <v>7.8431372549019607E-2</v>
      </c>
      <c r="Q50" s="97">
        <f t="shared" si="21"/>
        <v>0.15294117647058825</v>
      </c>
      <c r="R50" s="4">
        <f t="shared" si="22"/>
        <v>0</v>
      </c>
      <c r="S50" s="4">
        <f t="shared" si="23"/>
        <v>8.4388185654008432E-3</v>
      </c>
      <c r="T50" s="4">
        <f t="shared" si="24"/>
        <v>8.8607594936708875E-2</v>
      </c>
      <c r="U50" s="4">
        <f t="shared" si="25"/>
        <v>7.0588235294117646E-2</v>
      </c>
      <c r="V50" s="4">
        <f t="shared" si="26"/>
        <v>0</v>
      </c>
      <c r="W50" s="4">
        <f t="shared" si="27"/>
        <v>0</v>
      </c>
      <c r="X50" s="4">
        <f t="shared" si="28"/>
        <v>0</v>
      </c>
      <c r="Y50" s="4">
        <f t="shared" si="29"/>
        <v>0</v>
      </c>
    </row>
    <row r="51" spans="1:25" ht="27" customHeight="1" x14ac:dyDescent="0.15">
      <c r="A51" s="1">
        <v>49</v>
      </c>
      <c r="B51" s="1" t="s">
        <v>215</v>
      </c>
      <c r="C51" s="1">
        <v>15</v>
      </c>
      <c r="G51" s="96" t="str">
        <f t="shared" si="15"/>
        <v>XF15</v>
      </c>
      <c r="H51" s="2" t="s">
        <v>46</v>
      </c>
      <c r="I51" s="43"/>
      <c r="K51" s="1" t="s">
        <v>138</v>
      </c>
      <c r="L51" s="1">
        <f t="shared" si="16"/>
        <v>250</v>
      </c>
      <c r="M51" s="1">
        <f t="shared" si="17"/>
        <v>205</v>
      </c>
      <c r="N51" s="1">
        <f t="shared" si="18"/>
        <v>143</v>
      </c>
      <c r="O51" s="97">
        <f t="shared" si="19"/>
        <v>1.9607843137254902E-2</v>
      </c>
      <c r="P51" s="97">
        <f t="shared" si="20"/>
        <v>0.19607843137254902</v>
      </c>
      <c r="Q51" s="97">
        <f t="shared" si="21"/>
        <v>0.4392156862745098</v>
      </c>
      <c r="R51" s="4">
        <f t="shared" si="22"/>
        <v>0</v>
      </c>
      <c r="S51" s="4">
        <f t="shared" si="23"/>
        <v>0.18</v>
      </c>
      <c r="T51" s="4">
        <f t="shared" si="24"/>
        <v>0.42800000000000005</v>
      </c>
      <c r="U51" s="4">
        <f t="shared" si="25"/>
        <v>1.9607843137254902E-2</v>
      </c>
      <c r="V51" s="4">
        <f t="shared" si="26"/>
        <v>0</v>
      </c>
      <c r="W51" s="4">
        <f t="shared" si="27"/>
        <v>0</v>
      </c>
      <c r="X51" s="4">
        <f t="shared" si="28"/>
        <v>0</v>
      </c>
      <c r="Y51" s="4">
        <f t="shared" si="29"/>
        <v>0</v>
      </c>
    </row>
    <row r="52" spans="1:25" ht="27" customHeight="1" x14ac:dyDescent="0.15">
      <c r="A52" s="1">
        <v>50</v>
      </c>
      <c r="B52" s="1" t="s">
        <v>215</v>
      </c>
      <c r="C52" s="1">
        <v>16</v>
      </c>
      <c r="G52" s="96" t="str">
        <f t="shared" si="15"/>
        <v>XF16</v>
      </c>
      <c r="H52" s="2" t="s">
        <v>47</v>
      </c>
      <c r="I52" s="44"/>
      <c r="K52" s="1" t="s">
        <v>139</v>
      </c>
      <c r="L52" s="1">
        <f t="shared" si="16"/>
        <v>183</v>
      </c>
      <c r="M52" s="1">
        <f t="shared" si="17"/>
        <v>184</v>
      </c>
      <c r="N52" s="1">
        <f t="shared" si="18"/>
        <v>184</v>
      </c>
      <c r="O52" s="97">
        <f t="shared" si="19"/>
        <v>0.28235294117647058</v>
      </c>
      <c r="P52" s="97">
        <f t="shared" si="20"/>
        <v>0.27843137254901962</v>
      </c>
      <c r="Q52" s="97">
        <f t="shared" si="21"/>
        <v>0.27843137254901962</v>
      </c>
      <c r="R52" s="4">
        <f t="shared" si="22"/>
        <v>5.4347826086956329E-3</v>
      </c>
      <c r="S52" s="4">
        <f t="shared" si="23"/>
        <v>0</v>
      </c>
      <c r="T52" s="4">
        <f t="shared" si="24"/>
        <v>0</v>
      </c>
      <c r="U52" s="4">
        <f t="shared" si="25"/>
        <v>0.27843137254901962</v>
      </c>
      <c r="V52" s="4">
        <f t="shared" si="26"/>
        <v>0</v>
      </c>
      <c r="W52" s="4">
        <f t="shared" si="27"/>
        <v>0</v>
      </c>
      <c r="X52" s="4">
        <f t="shared" si="28"/>
        <v>0</v>
      </c>
      <c r="Y52" s="4">
        <f t="shared" si="29"/>
        <v>0</v>
      </c>
    </row>
    <row r="53" spans="1:25" ht="27" customHeight="1" x14ac:dyDescent="0.15">
      <c r="A53" s="1">
        <v>51</v>
      </c>
      <c r="B53" s="1" t="s">
        <v>215</v>
      </c>
      <c r="C53" s="1">
        <v>17</v>
      </c>
      <c r="G53" s="96" t="str">
        <f t="shared" si="15"/>
        <v>XF17</v>
      </c>
      <c r="H53" s="2" t="s">
        <v>48</v>
      </c>
      <c r="I53" s="45"/>
      <c r="K53" s="1" t="s">
        <v>140</v>
      </c>
      <c r="L53" s="1">
        <f t="shared" si="16"/>
        <v>15</v>
      </c>
      <c r="M53" s="1">
        <f t="shared" si="17"/>
        <v>58</v>
      </c>
      <c r="N53" s="1">
        <f t="shared" si="18"/>
        <v>88</v>
      </c>
      <c r="O53" s="97">
        <f t="shared" si="19"/>
        <v>0.94117647058823528</v>
      </c>
      <c r="P53" s="97">
        <f t="shared" si="20"/>
        <v>0.77254901960784317</v>
      </c>
      <c r="Q53" s="97">
        <f t="shared" si="21"/>
        <v>0.65490196078431373</v>
      </c>
      <c r="R53" s="4">
        <f t="shared" si="22"/>
        <v>0.82954545454545447</v>
      </c>
      <c r="S53" s="4">
        <f t="shared" si="23"/>
        <v>0.34090909090909099</v>
      </c>
      <c r="T53" s="4">
        <f t="shared" si="24"/>
        <v>0</v>
      </c>
      <c r="U53" s="4">
        <f t="shared" si="25"/>
        <v>0.65490196078431373</v>
      </c>
      <c r="V53" s="4">
        <f t="shared" si="26"/>
        <v>0</v>
      </c>
      <c r="W53" s="4">
        <f t="shared" si="27"/>
        <v>0</v>
      </c>
      <c r="X53" s="4">
        <f t="shared" si="28"/>
        <v>0</v>
      </c>
      <c r="Y53" s="4">
        <f t="shared" si="29"/>
        <v>0</v>
      </c>
    </row>
    <row r="54" spans="1:25" ht="27" customHeight="1" x14ac:dyDescent="0.15">
      <c r="A54" s="1">
        <v>52</v>
      </c>
      <c r="B54" s="1" t="s">
        <v>215</v>
      </c>
      <c r="C54" s="1">
        <v>18</v>
      </c>
      <c r="G54" s="96" t="str">
        <f t="shared" si="15"/>
        <v>XF18</v>
      </c>
      <c r="H54" s="2" t="s">
        <v>49</v>
      </c>
      <c r="I54" s="46"/>
      <c r="K54" s="1" t="s">
        <v>141</v>
      </c>
      <c r="L54" s="1">
        <f t="shared" si="16"/>
        <v>8</v>
      </c>
      <c r="M54" s="1">
        <f t="shared" si="17"/>
        <v>120</v>
      </c>
      <c r="N54" s="1">
        <f t="shared" si="18"/>
        <v>160</v>
      </c>
      <c r="O54" s="97">
        <f t="shared" si="19"/>
        <v>0.96862745098039216</v>
      </c>
      <c r="P54" s="97">
        <f t="shared" si="20"/>
        <v>0.52941176470588236</v>
      </c>
      <c r="Q54" s="97">
        <f t="shared" si="21"/>
        <v>0.37254901960784315</v>
      </c>
      <c r="R54" s="4">
        <f t="shared" si="22"/>
        <v>0.95</v>
      </c>
      <c r="S54" s="4">
        <f t="shared" si="23"/>
        <v>0.25</v>
      </c>
      <c r="T54" s="4">
        <f t="shared" si="24"/>
        <v>0</v>
      </c>
      <c r="U54" s="4">
        <f t="shared" si="25"/>
        <v>0.37254901960784315</v>
      </c>
      <c r="V54" s="4">
        <f t="shared" si="26"/>
        <v>0</v>
      </c>
      <c r="W54" s="4">
        <f t="shared" si="27"/>
        <v>0</v>
      </c>
      <c r="X54" s="4">
        <f t="shared" si="28"/>
        <v>0</v>
      </c>
      <c r="Y54" s="4">
        <f t="shared" si="29"/>
        <v>0</v>
      </c>
    </row>
    <row r="55" spans="1:25" ht="27" customHeight="1" x14ac:dyDescent="0.15">
      <c r="A55" s="1">
        <v>53</v>
      </c>
      <c r="B55" s="1" t="s">
        <v>215</v>
      </c>
      <c r="C55" s="1">
        <v>19</v>
      </c>
      <c r="G55" s="96" t="str">
        <f t="shared" si="15"/>
        <v>XF19</v>
      </c>
      <c r="H55" s="2" t="s">
        <v>217</v>
      </c>
      <c r="I55" s="47"/>
      <c r="K55" s="1" t="s">
        <v>142</v>
      </c>
      <c r="L55" s="1">
        <f t="shared" si="16"/>
        <v>200</v>
      </c>
      <c r="M55" s="1">
        <f t="shared" si="17"/>
        <v>209</v>
      </c>
      <c r="N55" s="1">
        <f t="shared" si="18"/>
        <v>200</v>
      </c>
      <c r="O55" s="97">
        <f t="shared" si="19"/>
        <v>0.21568627450980393</v>
      </c>
      <c r="P55" s="97">
        <f t="shared" si="20"/>
        <v>0.1803921568627451</v>
      </c>
      <c r="Q55" s="97">
        <f t="shared" si="21"/>
        <v>0.21568627450980393</v>
      </c>
      <c r="R55" s="4">
        <f t="shared" si="22"/>
        <v>4.3062200956937816E-2</v>
      </c>
      <c r="S55" s="4">
        <f t="shared" si="23"/>
        <v>0</v>
      </c>
      <c r="T55" s="4">
        <f t="shared" si="24"/>
        <v>4.3062200956937816E-2</v>
      </c>
      <c r="U55" s="4">
        <f t="shared" si="25"/>
        <v>0.1803921568627451</v>
      </c>
      <c r="V55" s="4">
        <f t="shared" si="26"/>
        <v>0</v>
      </c>
      <c r="W55" s="4">
        <f t="shared" si="27"/>
        <v>0</v>
      </c>
      <c r="X55" s="4">
        <f t="shared" si="28"/>
        <v>0</v>
      </c>
      <c r="Y55" s="4">
        <f t="shared" si="29"/>
        <v>0</v>
      </c>
    </row>
    <row r="56" spans="1:25" ht="27" customHeight="1" x14ac:dyDescent="0.15">
      <c r="A56" s="1">
        <v>54</v>
      </c>
      <c r="B56" s="1" t="s">
        <v>215</v>
      </c>
      <c r="C56" s="1">
        <v>20</v>
      </c>
      <c r="G56" s="96" t="str">
        <f t="shared" si="15"/>
        <v>XF20</v>
      </c>
      <c r="H56" s="2" t="s">
        <v>218</v>
      </c>
      <c r="I56" s="48"/>
      <c r="K56" s="1" t="s">
        <v>143</v>
      </c>
      <c r="L56" s="1">
        <f t="shared" si="16"/>
        <v>175</v>
      </c>
      <c r="M56" s="1">
        <f t="shared" si="17"/>
        <v>187</v>
      </c>
      <c r="N56" s="1">
        <f t="shared" si="18"/>
        <v>182</v>
      </c>
      <c r="O56" s="97">
        <f t="shared" si="19"/>
        <v>0.31372549019607843</v>
      </c>
      <c r="P56" s="97">
        <f t="shared" si="20"/>
        <v>0.26666666666666666</v>
      </c>
      <c r="Q56" s="97">
        <f t="shared" si="21"/>
        <v>0.28627450980392155</v>
      </c>
      <c r="R56" s="4">
        <f t="shared" si="22"/>
        <v>6.4171122994652399E-2</v>
      </c>
      <c r="S56" s="4">
        <f t="shared" si="23"/>
        <v>0</v>
      </c>
      <c r="T56" s="4">
        <f t="shared" si="24"/>
        <v>2.6737967914438481E-2</v>
      </c>
      <c r="U56" s="4">
        <f t="shared" si="25"/>
        <v>0.26666666666666666</v>
      </c>
      <c r="V56" s="4">
        <f t="shared" si="26"/>
        <v>0</v>
      </c>
      <c r="W56" s="4">
        <f t="shared" si="27"/>
        <v>0</v>
      </c>
      <c r="X56" s="4">
        <f t="shared" si="28"/>
        <v>0</v>
      </c>
      <c r="Y56" s="4">
        <f t="shared" si="29"/>
        <v>0</v>
      </c>
    </row>
    <row r="57" spans="1:25" ht="27" customHeight="1" x14ac:dyDescent="0.15">
      <c r="A57" s="1">
        <v>55</v>
      </c>
      <c r="B57" s="1" t="s">
        <v>215</v>
      </c>
      <c r="C57" s="1">
        <v>21</v>
      </c>
      <c r="G57" s="96" t="str">
        <f t="shared" si="15"/>
        <v>XF21</v>
      </c>
      <c r="H57" s="2" t="s">
        <v>50</v>
      </c>
      <c r="I57" s="49"/>
      <c r="K57" s="1" t="s">
        <v>144</v>
      </c>
      <c r="L57" s="1">
        <f t="shared" si="16"/>
        <v>232</v>
      </c>
      <c r="M57" s="1">
        <f t="shared" si="17"/>
        <v>241</v>
      </c>
      <c r="N57" s="1">
        <f t="shared" si="18"/>
        <v>205</v>
      </c>
      <c r="O57" s="97">
        <f t="shared" si="19"/>
        <v>9.0196078431372548E-2</v>
      </c>
      <c r="P57" s="97">
        <f t="shared" si="20"/>
        <v>5.4901960784313725E-2</v>
      </c>
      <c r="Q57" s="97">
        <f t="shared" si="21"/>
        <v>0.19607843137254902</v>
      </c>
      <c r="R57" s="4">
        <f t="shared" si="22"/>
        <v>3.7344398340248962E-2</v>
      </c>
      <c r="S57" s="4">
        <f t="shared" si="23"/>
        <v>0</v>
      </c>
      <c r="T57" s="4">
        <f t="shared" si="24"/>
        <v>0.14937759336099585</v>
      </c>
      <c r="U57" s="4">
        <f t="shared" si="25"/>
        <v>5.4901960784313725E-2</v>
      </c>
      <c r="V57" s="4">
        <f t="shared" si="26"/>
        <v>0</v>
      </c>
      <c r="W57" s="4">
        <f t="shared" si="27"/>
        <v>0</v>
      </c>
      <c r="X57" s="4">
        <f t="shared" si="28"/>
        <v>0</v>
      </c>
      <c r="Y57" s="4">
        <f t="shared" si="29"/>
        <v>0</v>
      </c>
    </row>
    <row r="58" spans="1:25" ht="27" customHeight="1" x14ac:dyDescent="0.15">
      <c r="A58" s="1">
        <v>56</v>
      </c>
      <c r="B58" s="1" t="s">
        <v>215</v>
      </c>
      <c r="C58" s="1">
        <v>22</v>
      </c>
      <c r="G58" s="96" t="str">
        <f t="shared" si="15"/>
        <v>XF22</v>
      </c>
      <c r="H58" s="2" t="s">
        <v>51</v>
      </c>
      <c r="I58" s="50"/>
      <c r="K58" s="1" t="s">
        <v>145</v>
      </c>
      <c r="L58" s="1">
        <f t="shared" si="16"/>
        <v>82</v>
      </c>
      <c r="M58" s="1">
        <f t="shared" si="17"/>
        <v>99</v>
      </c>
      <c r="N58" s="1">
        <f t="shared" si="18"/>
        <v>103</v>
      </c>
      <c r="O58" s="97">
        <f t="shared" si="19"/>
        <v>0.67843137254901964</v>
      </c>
      <c r="P58" s="97">
        <f t="shared" si="20"/>
        <v>0.61176470588235299</v>
      </c>
      <c r="Q58" s="97">
        <f t="shared" si="21"/>
        <v>0.59607843137254901</v>
      </c>
      <c r="R58" s="4">
        <f t="shared" si="22"/>
        <v>0.20388349514563117</v>
      </c>
      <c r="S58" s="4">
        <f t="shared" si="23"/>
        <v>3.8834951456310815E-2</v>
      </c>
      <c r="T58" s="4">
        <f t="shared" si="24"/>
        <v>0</v>
      </c>
      <c r="U58" s="4">
        <f t="shared" si="25"/>
        <v>0.59607843137254901</v>
      </c>
      <c r="V58" s="4">
        <f t="shared" si="26"/>
        <v>0</v>
      </c>
      <c r="W58" s="4">
        <f t="shared" si="27"/>
        <v>0</v>
      </c>
      <c r="X58" s="4">
        <f t="shared" si="28"/>
        <v>0</v>
      </c>
      <c r="Y58" s="4">
        <f t="shared" si="29"/>
        <v>0</v>
      </c>
    </row>
    <row r="59" spans="1:25" ht="27" customHeight="1" x14ac:dyDescent="0.15">
      <c r="A59" s="1">
        <v>57</v>
      </c>
      <c r="B59" s="1" t="s">
        <v>215</v>
      </c>
      <c r="C59" s="1">
        <v>23</v>
      </c>
      <c r="G59" s="96" t="str">
        <f t="shared" si="15"/>
        <v>XF23</v>
      </c>
      <c r="H59" s="2" t="s">
        <v>52</v>
      </c>
      <c r="I59" s="51"/>
      <c r="K59" s="1" t="s">
        <v>146</v>
      </c>
      <c r="L59" s="1">
        <f t="shared" si="16"/>
        <v>126</v>
      </c>
      <c r="M59" s="1">
        <f t="shared" si="17"/>
        <v>204</v>
      </c>
      <c r="N59" s="1">
        <f t="shared" si="18"/>
        <v>222</v>
      </c>
      <c r="O59" s="97">
        <f t="shared" si="19"/>
        <v>0.50588235294117645</v>
      </c>
      <c r="P59" s="97">
        <f t="shared" si="20"/>
        <v>0.2</v>
      </c>
      <c r="Q59" s="97">
        <f t="shared" si="21"/>
        <v>0.12941176470588237</v>
      </c>
      <c r="R59" s="4">
        <f t="shared" si="22"/>
        <v>0.4324324324324324</v>
      </c>
      <c r="S59" s="4">
        <f t="shared" si="23"/>
        <v>8.1081081081081072E-2</v>
      </c>
      <c r="T59" s="4">
        <f t="shared" si="24"/>
        <v>0</v>
      </c>
      <c r="U59" s="4">
        <f t="shared" si="25"/>
        <v>0.12941176470588237</v>
      </c>
      <c r="V59" s="4">
        <f t="shared" si="26"/>
        <v>0</v>
      </c>
      <c r="W59" s="4">
        <f t="shared" si="27"/>
        <v>0</v>
      </c>
      <c r="X59" s="4">
        <f t="shared" si="28"/>
        <v>0</v>
      </c>
      <c r="Y59" s="4">
        <f t="shared" si="29"/>
        <v>0</v>
      </c>
    </row>
    <row r="60" spans="1:25" ht="27" customHeight="1" x14ac:dyDescent="0.15">
      <c r="A60" s="1">
        <v>58</v>
      </c>
      <c r="B60" s="1" t="s">
        <v>215</v>
      </c>
      <c r="C60" s="1">
        <v>24</v>
      </c>
      <c r="G60" s="96" t="str">
        <f t="shared" si="15"/>
        <v>XF24</v>
      </c>
      <c r="H60" s="2" t="s">
        <v>53</v>
      </c>
      <c r="I60" s="52"/>
      <c r="K60" s="1" t="s">
        <v>147</v>
      </c>
      <c r="L60" s="1">
        <f t="shared" si="16"/>
        <v>47</v>
      </c>
      <c r="M60" s="1">
        <f t="shared" si="17"/>
        <v>104</v>
      </c>
      <c r="N60" s="1">
        <f t="shared" si="18"/>
        <v>120</v>
      </c>
      <c r="O60" s="97">
        <f t="shared" si="19"/>
        <v>0.81568627450980391</v>
      </c>
      <c r="P60" s="97">
        <f t="shared" si="20"/>
        <v>0.59215686274509804</v>
      </c>
      <c r="Q60" s="97">
        <f t="shared" si="21"/>
        <v>0.52941176470588236</v>
      </c>
      <c r="R60" s="4">
        <f t="shared" si="22"/>
        <v>0.60833333333333328</v>
      </c>
      <c r="S60" s="4">
        <f t="shared" si="23"/>
        <v>0.13333333333333333</v>
      </c>
      <c r="T60" s="4">
        <f t="shared" si="24"/>
        <v>0</v>
      </c>
      <c r="U60" s="4">
        <f t="shared" si="25"/>
        <v>0.52941176470588236</v>
      </c>
      <c r="V60" s="4">
        <f t="shared" si="26"/>
        <v>0</v>
      </c>
      <c r="W60" s="4">
        <f t="shared" si="27"/>
        <v>0</v>
      </c>
      <c r="X60" s="4">
        <f t="shared" si="28"/>
        <v>0</v>
      </c>
      <c r="Y60" s="4">
        <f t="shared" si="29"/>
        <v>0</v>
      </c>
    </row>
    <row r="61" spans="1:25" ht="27" customHeight="1" x14ac:dyDescent="0.15">
      <c r="A61" s="1">
        <v>59</v>
      </c>
      <c r="B61" s="1" t="s">
        <v>215</v>
      </c>
      <c r="C61" s="1">
        <v>25</v>
      </c>
      <c r="G61" s="96" t="str">
        <f t="shared" si="15"/>
        <v>XF25</v>
      </c>
      <c r="H61" s="2" t="s">
        <v>54</v>
      </c>
      <c r="I61" s="53"/>
      <c r="K61" s="1" t="s">
        <v>148</v>
      </c>
      <c r="L61" s="1">
        <f t="shared" si="16"/>
        <v>133</v>
      </c>
      <c r="M61" s="1">
        <f t="shared" si="17"/>
        <v>155</v>
      </c>
      <c r="N61" s="1">
        <f t="shared" si="18"/>
        <v>166</v>
      </c>
      <c r="O61" s="97">
        <f t="shared" si="19"/>
        <v>0.47843137254901963</v>
      </c>
      <c r="P61" s="97">
        <f t="shared" si="20"/>
        <v>0.39215686274509803</v>
      </c>
      <c r="Q61" s="97">
        <f t="shared" si="21"/>
        <v>0.34901960784313724</v>
      </c>
      <c r="R61" s="4">
        <f t="shared" si="22"/>
        <v>0.19879518072289162</v>
      </c>
      <c r="S61" s="4">
        <f t="shared" si="23"/>
        <v>6.6265060240963874E-2</v>
      </c>
      <c r="T61" s="4">
        <f t="shared" si="24"/>
        <v>0</v>
      </c>
      <c r="U61" s="4">
        <f t="shared" si="25"/>
        <v>0.34901960784313724</v>
      </c>
      <c r="V61" s="4">
        <f t="shared" si="26"/>
        <v>0</v>
      </c>
      <c r="W61" s="4">
        <f t="shared" si="27"/>
        <v>0</v>
      </c>
      <c r="X61" s="4">
        <f t="shared" si="28"/>
        <v>0</v>
      </c>
      <c r="Y61" s="4">
        <f t="shared" si="29"/>
        <v>0</v>
      </c>
    </row>
    <row r="62" spans="1:25" ht="27" customHeight="1" x14ac:dyDescent="0.15">
      <c r="A62" s="1">
        <v>60</v>
      </c>
      <c r="B62" s="1" t="s">
        <v>215</v>
      </c>
      <c r="C62" s="1">
        <v>26</v>
      </c>
      <c r="G62" s="96" t="str">
        <f t="shared" si="15"/>
        <v>XF26</v>
      </c>
      <c r="H62" s="2" t="s">
        <v>55</v>
      </c>
      <c r="I62" s="54"/>
      <c r="K62" s="1" t="s">
        <v>149</v>
      </c>
      <c r="L62" s="1">
        <f t="shared" si="16"/>
        <v>18</v>
      </c>
      <c r="M62" s="1">
        <f t="shared" si="17"/>
        <v>100</v>
      </c>
      <c r="N62" s="1">
        <f t="shared" si="18"/>
        <v>66</v>
      </c>
      <c r="O62" s="97">
        <f t="shared" si="19"/>
        <v>0.92941176470588238</v>
      </c>
      <c r="P62" s="97">
        <f t="shared" si="20"/>
        <v>0.60784313725490191</v>
      </c>
      <c r="Q62" s="97">
        <f t="shared" si="21"/>
        <v>0.74117647058823533</v>
      </c>
      <c r="R62" s="4">
        <f t="shared" si="22"/>
        <v>0.82000000000000006</v>
      </c>
      <c r="S62" s="4">
        <f t="shared" si="23"/>
        <v>0</v>
      </c>
      <c r="T62" s="4">
        <f t="shared" si="24"/>
        <v>0.34000000000000019</v>
      </c>
      <c r="U62" s="4">
        <f t="shared" si="25"/>
        <v>0.60784313725490191</v>
      </c>
      <c r="V62" s="4">
        <f t="shared" si="26"/>
        <v>0</v>
      </c>
      <c r="W62" s="4">
        <f t="shared" si="27"/>
        <v>0</v>
      </c>
      <c r="X62" s="4">
        <f t="shared" si="28"/>
        <v>0</v>
      </c>
      <c r="Y62" s="4">
        <f t="shared" si="29"/>
        <v>0</v>
      </c>
    </row>
    <row r="63" spans="1:25" ht="27" customHeight="1" x14ac:dyDescent="0.15">
      <c r="A63" s="1">
        <v>61</v>
      </c>
      <c r="B63" s="1" t="s">
        <v>215</v>
      </c>
      <c r="C63" s="1">
        <v>27</v>
      </c>
      <c r="G63" s="96" t="str">
        <f t="shared" si="15"/>
        <v>XF27</v>
      </c>
      <c r="H63" s="2" t="s">
        <v>56</v>
      </c>
      <c r="I63" s="55"/>
      <c r="K63" s="1" t="s">
        <v>150</v>
      </c>
      <c r="L63" s="1">
        <f t="shared" si="16"/>
        <v>0</v>
      </c>
      <c r="M63" s="1">
        <f t="shared" si="17"/>
        <v>71</v>
      </c>
      <c r="N63" s="1">
        <f t="shared" si="18"/>
        <v>49</v>
      </c>
      <c r="O63" s="97">
        <f t="shared" si="19"/>
        <v>1</v>
      </c>
      <c r="P63" s="97">
        <f t="shared" si="20"/>
        <v>0.72156862745098038</v>
      </c>
      <c r="Q63" s="97">
        <f t="shared" si="21"/>
        <v>0.80784313725490198</v>
      </c>
      <c r="R63" s="4">
        <f t="shared" si="22"/>
        <v>1</v>
      </c>
      <c r="S63" s="4">
        <f t="shared" si="23"/>
        <v>0</v>
      </c>
      <c r="T63" s="4">
        <f t="shared" si="24"/>
        <v>0.30985915492957755</v>
      </c>
      <c r="U63" s="4">
        <f t="shared" si="25"/>
        <v>0.72156862745098038</v>
      </c>
      <c r="V63" s="4">
        <f t="shared" si="26"/>
        <v>0</v>
      </c>
      <c r="W63" s="4">
        <f t="shared" si="27"/>
        <v>0</v>
      </c>
      <c r="X63" s="4">
        <f t="shared" si="28"/>
        <v>0</v>
      </c>
      <c r="Y63" s="4">
        <f t="shared" si="29"/>
        <v>0</v>
      </c>
    </row>
    <row r="64" spans="1:25" ht="27" customHeight="1" x14ac:dyDescent="0.15">
      <c r="A64" s="1">
        <v>62</v>
      </c>
      <c r="B64" s="1" t="s">
        <v>215</v>
      </c>
      <c r="C64" s="1">
        <v>28</v>
      </c>
      <c r="G64" s="96" t="str">
        <f t="shared" si="15"/>
        <v>XF28</v>
      </c>
      <c r="H64" s="2" t="s">
        <v>57</v>
      </c>
      <c r="I64" s="56"/>
      <c r="K64" s="1" t="s">
        <v>151</v>
      </c>
      <c r="L64" s="1">
        <f t="shared" si="16"/>
        <v>164</v>
      </c>
      <c r="M64" s="1">
        <f t="shared" si="17"/>
        <v>129</v>
      </c>
      <c r="N64" s="1">
        <f t="shared" si="18"/>
        <v>99</v>
      </c>
      <c r="O64" s="97">
        <f t="shared" si="19"/>
        <v>0.35686274509803922</v>
      </c>
      <c r="P64" s="97">
        <f t="shared" si="20"/>
        <v>0.49411764705882355</v>
      </c>
      <c r="Q64" s="97">
        <f t="shared" si="21"/>
        <v>0.61176470588235299</v>
      </c>
      <c r="R64" s="4">
        <f t="shared" si="22"/>
        <v>0</v>
      </c>
      <c r="S64" s="4">
        <f t="shared" si="23"/>
        <v>0.21341463414634151</v>
      </c>
      <c r="T64" s="4">
        <f t="shared" si="24"/>
        <v>0.39634146341463422</v>
      </c>
      <c r="U64" s="4">
        <f t="shared" si="25"/>
        <v>0.35686274509803922</v>
      </c>
      <c r="V64" s="4">
        <f t="shared" si="26"/>
        <v>0</v>
      </c>
      <c r="W64" s="4">
        <f t="shared" si="27"/>
        <v>0</v>
      </c>
      <c r="X64" s="4">
        <f t="shared" si="28"/>
        <v>0</v>
      </c>
      <c r="Y64" s="4">
        <f t="shared" si="29"/>
        <v>0</v>
      </c>
    </row>
    <row r="65" spans="1:25" ht="27" customHeight="1" x14ac:dyDescent="0.15">
      <c r="A65" s="1">
        <v>63</v>
      </c>
      <c r="B65" s="1" t="s">
        <v>215</v>
      </c>
      <c r="C65" s="1">
        <v>49</v>
      </c>
      <c r="G65" s="96" t="str">
        <f t="shared" si="15"/>
        <v>XF49</v>
      </c>
      <c r="H65" s="2" t="s">
        <v>58</v>
      </c>
      <c r="I65" s="57"/>
      <c r="K65" s="1" t="s">
        <v>152</v>
      </c>
      <c r="L65" s="1">
        <f t="shared" si="16"/>
        <v>154</v>
      </c>
      <c r="M65" s="1">
        <f t="shared" si="17"/>
        <v>143</v>
      </c>
      <c r="N65" s="1">
        <f t="shared" si="18"/>
        <v>52</v>
      </c>
      <c r="O65" s="97">
        <f t="shared" si="19"/>
        <v>0.396078431372549</v>
      </c>
      <c r="P65" s="97">
        <f t="shared" si="20"/>
        <v>0.4392156862745098</v>
      </c>
      <c r="Q65" s="97">
        <f t="shared" si="21"/>
        <v>0.79607843137254897</v>
      </c>
      <c r="R65" s="4">
        <f t="shared" si="22"/>
        <v>0</v>
      </c>
      <c r="S65" s="4">
        <f t="shared" si="23"/>
        <v>7.1428571428571438E-2</v>
      </c>
      <c r="T65" s="4">
        <f t="shared" si="24"/>
        <v>0.66233766233766223</v>
      </c>
      <c r="U65" s="4">
        <f t="shared" si="25"/>
        <v>0.396078431372549</v>
      </c>
      <c r="V65" s="4">
        <f t="shared" si="26"/>
        <v>0</v>
      </c>
      <c r="W65" s="4">
        <f t="shared" si="27"/>
        <v>0</v>
      </c>
      <c r="X65" s="4">
        <f t="shared" si="28"/>
        <v>0</v>
      </c>
      <c r="Y65" s="4">
        <f t="shared" si="29"/>
        <v>0</v>
      </c>
    </row>
    <row r="66" spans="1:25" ht="27" customHeight="1" x14ac:dyDescent="0.15">
      <c r="A66" s="1">
        <v>64</v>
      </c>
      <c r="B66" s="1" t="s">
        <v>215</v>
      </c>
      <c r="C66" s="1">
        <v>50</v>
      </c>
      <c r="G66" s="96" t="str">
        <f t="shared" si="15"/>
        <v>XF50</v>
      </c>
      <c r="H66" s="2" t="s">
        <v>209</v>
      </c>
      <c r="I66" s="58"/>
      <c r="K66" s="1" t="s">
        <v>153</v>
      </c>
      <c r="L66" s="1">
        <f t="shared" si="16"/>
        <v>21</v>
      </c>
      <c r="M66" s="1">
        <f t="shared" si="17"/>
        <v>130</v>
      </c>
      <c r="N66" s="1">
        <f t="shared" si="18"/>
        <v>166</v>
      </c>
      <c r="O66" s="97">
        <f t="shared" si="19"/>
        <v>0.91764705882352937</v>
      </c>
      <c r="P66" s="97">
        <f t="shared" si="20"/>
        <v>0.49019607843137253</v>
      </c>
      <c r="Q66" s="97">
        <f t="shared" si="21"/>
        <v>0.34901960784313724</v>
      </c>
      <c r="R66" s="4">
        <f t="shared" si="22"/>
        <v>0.87349397590361444</v>
      </c>
      <c r="S66" s="4">
        <f t="shared" si="23"/>
        <v>0.21686746987951808</v>
      </c>
      <c r="T66" s="4">
        <f t="shared" si="24"/>
        <v>0</v>
      </c>
      <c r="U66" s="4">
        <f t="shared" si="25"/>
        <v>0.34901960784313724</v>
      </c>
      <c r="V66" s="4">
        <f t="shared" si="26"/>
        <v>0</v>
      </c>
      <c r="W66" s="4">
        <f t="shared" si="27"/>
        <v>0</v>
      </c>
      <c r="X66" s="4">
        <f t="shared" si="28"/>
        <v>0</v>
      </c>
      <c r="Y66" s="4">
        <f t="shared" si="29"/>
        <v>0</v>
      </c>
    </row>
    <row r="67" spans="1:25" ht="27" customHeight="1" x14ac:dyDescent="0.15">
      <c r="A67" s="1">
        <v>65</v>
      </c>
      <c r="B67" s="1" t="s">
        <v>215</v>
      </c>
      <c r="C67" s="1">
        <v>51</v>
      </c>
      <c r="G67" s="96" t="str">
        <f t="shared" ref="G67:G98" si="30">B67&amp;C67&amp;D67</f>
        <v>XF51</v>
      </c>
      <c r="H67" s="2" t="s">
        <v>59</v>
      </c>
      <c r="I67" s="59"/>
      <c r="K67" s="1" t="s">
        <v>154</v>
      </c>
      <c r="L67" s="1">
        <f t="shared" ref="L67:L98" si="31">HEX2DEC(MID(K67,9,2))</f>
        <v>87</v>
      </c>
      <c r="M67" s="1">
        <f t="shared" ref="M67:M98" si="32">HEX2DEC(MID(K67,7,2))</f>
        <v>95</v>
      </c>
      <c r="N67" s="1">
        <f t="shared" ref="N67:N98" si="33">HEX2DEC(MID(K67,5,2))</f>
        <v>92</v>
      </c>
      <c r="O67" s="97">
        <f t="shared" ref="O67:O98" si="34">(255-L67)/255</f>
        <v>0.6588235294117647</v>
      </c>
      <c r="P67" s="97">
        <f t="shared" ref="P67:P98" si="35">(255-M67)/255</f>
        <v>0.62745098039215685</v>
      </c>
      <c r="Q67" s="97">
        <f t="shared" ref="Q67:Q98" si="36">(255-N67)/255</f>
        <v>0.63921568627450975</v>
      </c>
      <c r="R67" s="4">
        <f t="shared" ref="R67:R98" si="37">(O67-U67)/(1-U67)</f>
        <v>8.4210526315789472E-2</v>
      </c>
      <c r="S67" s="4">
        <f t="shared" ref="S67:S98" si="38">(P67-U67)/(1-U67)</f>
        <v>0</v>
      </c>
      <c r="T67" s="4">
        <f t="shared" ref="T67:T98" si="39">(Q67-U67)/(1-U67)</f>
        <v>3.1578947368420943E-2</v>
      </c>
      <c r="U67" s="4">
        <f t="shared" ref="U67:U98" si="40">MIN(O67,P67,Q67)</f>
        <v>0.62745098039215685</v>
      </c>
      <c r="V67" s="4">
        <f t="shared" ref="V67:V98" si="41">J67*R67</f>
        <v>0</v>
      </c>
      <c r="W67" s="4">
        <f t="shared" ref="W67:W98" si="42">J67*S67</f>
        <v>0</v>
      </c>
      <c r="X67" s="4">
        <f t="shared" ref="X67:X98" si="43">J67*T67</f>
        <v>0</v>
      </c>
      <c r="Y67" s="4">
        <f t="shared" ref="Y67:Y98" si="44">J67*U67</f>
        <v>0</v>
      </c>
    </row>
    <row r="68" spans="1:25" ht="27" customHeight="1" x14ac:dyDescent="0.15">
      <c r="A68" s="1">
        <v>66</v>
      </c>
      <c r="B68" s="1" t="s">
        <v>215</v>
      </c>
      <c r="C68" s="1">
        <v>52</v>
      </c>
      <c r="G68" s="96" t="str">
        <f t="shared" si="30"/>
        <v>XF52</v>
      </c>
      <c r="H68" s="2" t="s">
        <v>60</v>
      </c>
      <c r="I68" s="60"/>
      <c r="K68" s="1" t="s">
        <v>155</v>
      </c>
      <c r="L68" s="1">
        <f t="shared" si="31"/>
        <v>153</v>
      </c>
      <c r="M68" s="1">
        <f t="shared" si="32"/>
        <v>72</v>
      </c>
      <c r="N68" s="1">
        <f t="shared" si="33"/>
        <v>48</v>
      </c>
      <c r="O68" s="97">
        <f t="shared" si="34"/>
        <v>0.4</v>
      </c>
      <c r="P68" s="97">
        <f t="shared" si="35"/>
        <v>0.71764705882352942</v>
      </c>
      <c r="Q68" s="97">
        <f t="shared" si="36"/>
        <v>0.81176470588235294</v>
      </c>
      <c r="R68" s="4">
        <f t="shared" si="37"/>
        <v>0</v>
      </c>
      <c r="S68" s="4">
        <f t="shared" si="38"/>
        <v>0.52941176470588236</v>
      </c>
      <c r="T68" s="4">
        <f t="shared" si="39"/>
        <v>0.68627450980392157</v>
      </c>
      <c r="U68" s="4">
        <f t="shared" si="40"/>
        <v>0.4</v>
      </c>
      <c r="V68" s="4">
        <f t="shared" si="41"/>
        <v>0</v>
      </c>
      <c r="W68" s="4">
        <f t="shared" si="42"/>
        <v>0</v>
      </c>
      <c r="X68" s="4">
        <f t="shared" si="43"/>
        <v>0</v>
      </c>
      <c r="Y68" s="4">
        <f t="shared" si="44"/>
        <v>0</v>
      </c>
    </row>
    <row r="69" spans="1:25" ht="27" customHeight="1" x14ac:dyDescent="0.15">
      <c r="A69" s="1">
        <v>67</v>
      </c>
      <c r="B69" s="1" t="s">
        <v>215</v>
      </c>
      <c r="C69" s="1">
        <v>53</v>
      </c>
      <c r="G69" s="96" t="str">
        <f t="shared" si="30"/>
        <v>XF53</v>
      </c>
      <c r="H69" s="2" t="s">
        <v>61</v>
      </c>
      <c r="I69" s="61"/>
      <c r="K69" s="1" t="s">
        <v>156</v>
      </c>
      <c r="L69" s="1">
        <f t="shared" si="31"/>
        <v>113</v>
      </c>
      <c r="M69" s="1">
        <f t="shared" si="32"/>
        <v>132</v>
      </c>
      <c r="N69" s="1">
        <f t="shared" si="33"/>
        <v>142</v>
      </c>
      <c r="O69" s="97">
        <f t="shared" si="34"/>
        <v>0.55686274509803924</v>
      </c>
      <c r="P69" s="97">
        <f t="shared" si="35"/>
        <v>0.4823529411764706</v>
      </c>
      <c r="Q69" s="97">
        <f t="shared" si="36"/>
        <v>0.44313725490196076</v>
      </c>
      <c r="R69" s="4">
        <f t="shared" si="37"/>
        <v>0.20422535211267612</v>
      </c>
      <c r="S69" s="4">
        <f t="shared" si="38"/>
        <v>7.0422535211267651E-2</v>
      </c>
      <c r="T69" s="4">
        <f t="shared" si="39"/>
        <v>0</v>
      </c>
      <c r="U69" s="4">
        <f t="shared" si="40"/>
        <v>0.44313725490196076</v>
      </c>
      <c r="V69" s="4">
        <f t="shared" si="41"/>
        <v>0</v>
      </c>
      <c r="W69" s="4">
        <f t="shared" si="42"/>
        <v>0</v>
      </c>
      <c r="X69" s="4">
        <f t="shared" si="43"/>
        <v>0</v>
      </c>
      <c r="Y69" s="4">
        <f t="shared" si="44"/>
        <v>0</v>
      </c>
    </row>
    <row r="70" spans="1:25" ht="27" customHeight="1" x14ac:dyDescent="0.15">
      <c r="A70" s="1">
        <v>68</v>
      </c>
      <c r="B70" s="1" t="s">
        <v>215</v>
      </c>
      <c r="C70" s="1">
        <v>54</v>
      </c>
      <c r="G70" s="96" t="str">
        <f t="shared" si="30"/>
        <v>XF54</v>
      </c>
      <c r="H70" s="2" t="s">
        <v>219</v>
      </c>
      <c r="I70" s="62"/>
      <c r="K70" s="1" t="s">
        <v>157</v>
      </c>
      <c r="L70" s="1">
        <f t="shared" si="31"/>
        <v>171</v>
      </c>
      <c r="M70" s="1">
        <f t="shared" si="32"/>
        <v>177</v>
      </c>
      <c r="N70" s="1">
        <f t="shared" si="33"/>
        <v>178</v>
      </c>
      <c r="O70" s="97">
        <f t="shared" si="34"/>
        <v>0.32941176470588235</v>
      </c>
      <c r="P70" s="97">
        <f t="shared" si="35"/>
        <v>0.30588235294117649</v>
      </c>
      <c r="Q70" s="97">
        <f t="shared" si="36"/>
        <v>0.30196078431372547</v>
      </c>
      <c r="R70" s="4">
        <f t="shared" si="37"/>
        <v>3.9325842696629233E-2</v>
      </c>
      <c r="S70" s="4">
        <f t="shared" si="38"/>
        <v>5.6179775280899473E-3</v>
      </c>
      <c r="T70" s="4">
        <f t="shared" si="39"/>
        <v>0</v>
      </c>
      <c r="U70" s="4">
        <f t="shared" si="40"/>
        <v>0.30196078431372547</v>
      </c>
      <c r="V70" s="4">
        <f t="shared" si="41"/>
        <v>0</v>
      </c>
      <c r="W70" s="4">
        <f t="shared" si="42"/>
        <v>0</v>
      </c>
      <c r="X70" s="4">
        <f t="shared" si="43"/>
        <v>0</v>
      </c>
      <c r="Y70" s="4">
        <f t="shared" si="44"/>
        <v>0</v>
      </c>
    </row>
    <row r="71" spans="1:25" ht="27" customHeight="1" x14ac:dyDescent="0.15">
      <c r="A71" s="1">
        <v>69</v>
      </c>
      <c r="B71" s="1" t="s">
        <v>215</v>
      </c>
      <c r="C71" s="1">
        <v>55</v>
      </c>
      <c r="G71" s="96" t="str">
        <f t="shared" si="30"/>
        <v>XF55</v>
      </c>
      <c r="H71" s="2" t="s">
        <v>62</v>
      </c>
      <c r="I71" s="63"/>
      <c r="K71" s="1" t="s">
        <v>158</v>
      </c>
      <c r="L71" s="1">
        <f t="shared" si="31"/>
        <v>203</v>
      </c>
      <c r="M71" s="1">
        <f t="shared" si="32"/>
        <v>190</v>
      </c>
      <c r="N71" s="1">
        <f t="shared" si="33"/>
        <v>162</v>
      </c>
      <c r="O71" s="97">
        <f t="shared" si="34"/>
        <v>0.20392156862745098</v>
      </c>
      <c r="P71" s="97">
        <f t="shared" si="35"/>
        <v>0.25490196078431371</v>
      </c>
      <c r="Q71" s="97">
        <f t="shared" si="36"/>
        <v>0.36470588235294116</v>
      </c>
      <c r="R71" s="4">
        <f t="shared" si="37"/>
        <v>0</v>
      </c>
      <c r="S71" s="4">
        <f t="shared" si="38"/>
        <v>6.4039408866995051E-2</v>
      </c>
      <c r="T71" s="4">
        <f t="shared" si="39"/>
        <v>0.20197044334975367</v>
      </c>
      <c r="U71" s="4">
        <f t="shared" si="40"/>
        <v>0.20392156862745098</v>
      </c>
      <c r="V71" s="4">
        <f t="shared" si="41"/>
        <v>0</v>
      </c>
      <c r="W71" s="4">
        <f t="shared" si="42"/>
        <v>0</v>
      </c>
      <c r="X71" s="4">
        <f t="shared" si="43"/>
        <v>0</v>
      </c>
      <c r="Y71" s="4">
        <f t="shared" si="44"/>
        <v>0</v>
      </c>
    </row>
    <row r="72" spans="1:25" ht="27" customHeight="1" x14ac:dyDescent="0.15">
      <c r="A72" s="1">
        <v>70</v>
      </c>
      <c r="B72" s="1" t="s">
        <v>215</v>
      </c>
      <c r="C72" s="1">
        <v>56</v>
      </c>
      <c r="G72" s="96" t="str">
        <f t="shared" si="30"/>
        <v>XF56</v>
      </c>
      <c r="H72" s="2" t="s">
        <v>63</v>
      </c>
      <c r="I72" s="64"/>
      <c r="K72" s="1" t="s">
        <v>159</v>
      </c>
      <c r="L72" s="1">
        <f t="shared" si="31"/>
        <v>114</v>
      </c>
      <c r="M72" s="1">
        <f t="shared" si="32"/>
        <v>113</v>
      </c>
      <c r="N72" s="1">
        <f t="shared" si="33"/>
        <v>113</v>
      </c>
      <c r="O72" s="97">
        <f t="shared" si="34"/>
        <v>0.55294117647058827</v>
      </c>
      <c r="P72" s="97">
        <f t="shared" si="35"/>
        <v>0.55686274509803924</v>
      </c>
      <c r="Q72" s="97">
        <f t="shared" si="36"/>
        <v>0.55686274509803924</v>
      </c>
      <c r="R72" s="4">
        <f t="shared" si="37"/>
        <v>0</v>
      </c>
      <c r="S72" s="4">
        <f t="shared" si="38"/>
        <v>8.7719298245613735E-3</v>
      </c>
      <c r="T72" s="4">
        <f t="shared" si="39"/>
        <v>8.7719298245613735E-3</v>
      </c>
      <c r="U72" s="4">
        <f t="shared" si="40"/>
        <v>0.55294117647058827</v>
      </c>
      <c r="V72" s="4">
        <f t="shared" si="41"/>
        <v>0</v>
      </c>
      <c r="W72" s="4">
        <f t="shared" si="42"/>
        <v>0</v>
      </c>
      <c r="X72" s="4">
        <f t="shared" si="43"/>
        <v>0</v>
      </c>
      <c r="Y72" s="4">
        <f t="shared" si="44"/>
        <v>0</v>
      </c>
    </row>
    <row r="73" spans="1:25" ht="27" customHeight="1" x14ac:dyDescent="0.15">
      <c r="A73" s="1">
        <v>71</v>
      </c>
      <c r="B73" s="1" t="s">
        <v>215</v>
      </c>
      <c r="C73" s="1">
        <v>57</v>
      </c>
      <c r="G73" s="96" t="str">
        <f t="shared" si="30"/>
        <v>XF57</v>
      </c>
      <c r="H73" s="2" t="s">
        <v>64</v>
      </c>
      <c r="I73" s="65"/>
      <c r="K73" s="1" t="s">
        <v>160</v>
      </c>
      <c r="L73" s="1">
        <f t="shared" si="31"/>
        <v>203</v>
      </c>
      <c r="M73" s="1">
        <f t="shared" si="32"/>
        <v>168</v>
      </c>
      <c r="N73" s="1">
        <f t="shared" si="33"/>
        <v>123</v>
      </c>
      <c r="O73" s="97">
        <f t="shared" si="34"/>
        <v>0.20392156862745098</v>
      </c>
      <c r="P73" s="97">
        <f t="shared" si="35"/>
        <v>0.3411764705882353</v>
      </c>
      <c r="Q73" s="97">
        <f t="shared" si="36"/>
        <v>0.51764705882352946</v>
      </c>
      <c r="R73" s="4">
        <f t="shared" si="37"/>
        <v>0</v>
      </c>
      <c r="S73" s="4">
        <f t="shared" si="38"/>
        <v>0.17241379310344829</v>
      </c>
      <c r="T73" s="4">
        <f t="shared" si="39"/>
        <v>0.39408866995073893</v>
      </c>
      <c r="U73" s="4">
        <f t="shared" si="40"/>
        <v>0.20392156862745098</v>
      </c>
      <c r="V73" s="4">
        <f t="shared" si="41"/>
        <v>0</v>
      </c>
      <c r="W73" s="4">
        <f t="shared" si="42"/>
        <v>0</v>
      </c>
      <c r="X73" s="4">
        <f t="shared" si="43"/>
        <v>0</v>
      </c>
      <c r="Y73" s="4">
        <f t="shared" si="44"/>
        <v>0</v>
      </c>
    </row>
    <row r="74" spans="1:25" ht="27" customHeight="1" x14ac:dyDescent="0.15">
      <c r="A74" s="1">
        <v>72</v>
      </c>
      <c r="B74" s="1" t="s">
        <v>215</v>
      </c>
      <c r="C74" s="1">
        <v>58</v>
      </c>
      <c r="G74" s="96" t="str">
        <f t="shared" si="30"/>
        <v>XF58</v>
      </c>
      <c r="H74" s="2" t="s">
        <v>65</v>
      </c>
      <c r="I74" s="66"/>
      <c r="K74" s="1" t="s">
        <v>161</v>
      </c>
      <c r="L74" s="1">
        <f t="shared" si="31"/>
        <v>35</v>
      </c>
      <c r="M74" s="1">
        <f t="shared" si="32"/>
        <v>73</v>
      </c>
      <c r="N74" s="1">
        <f t="shared" si="33"/>
        <v>56</v>
      </c>
      <c r="O74" s="97">
        <f t="shared" si="34"/>
        <v>0.86274509803921573</v>
      </c>
      <c r="P74" s="97">
        <f t="shared" si="35"/>
        <v>0.71372549019607845</v>
      </c>
      <c r="Q74" s="97">
        <f t="shared" si="36"/>
        <v>0.7803921568627451</v>
      </c>
      <c r="R74" s="4">
        <f t="shared" si="37"/>
        <v>0.52054794520547953</v>
      </c>
      <c r="S74" s="4">
        <f t="shared" si="38"/>
        <v>0</v>
      </c>
      <c r="T74" s="4">
        <f t="shared" si="39"/>
        <v>0.23287671232876708</v>
      </c>
      <c r="U74" s="4">
        <f t="shared" si="40"/>
        <v>0.71372549019607845</v>
      </c>
      <c r="V74" s="4">
        <f t="shared" si="41"/>
        <v>0</v>
      </c>
      <c r="W74" s="4">
        <f t="shared" si="42"/>
        <v>0</v>
      </c>
      <c r="X74" s="4">
        <f t="shared" si="43"/>
        <v>0</v>
      </c>
      <c r="Y74" s="4">
        <f t="shared" si="44"/>
        <v>0</v>
      </c>
    </row>
    <row r="75" spans="1:25" ht="27" customHeight="1" x14ac:dyDescent="0.15">
      <c r="A75" s="1">
        <v>73</v>
      </c>
      <c r="B75" s="1" t="s">
        <v>215</v>
      </c>
      <c r="C75" s="1">
        <v>59</v>
      </c>
      <c r="G75" s="96" t="str">
        <f t="shared" si="30"/>
        <v>XF59</v>
      </c>
      <c r="H75" s="2" t="s">
        <v>66</v>
      </c>
      <c r="I75" s="67"/>
      <c r="K75" s="1" t="s">
        <v>230</v>
      </c>
      <c r="L75" s="1">
        <f t="shared" si="31"/>
        <v>242</v>
      </c>
      <c r="M75" s="1">
        <f t="shared" si="32"/>
        <v>198</v>
      </c>
      <c r="N75" s="1">
        <f t="shared" si="33"/>
        <v>134</v>
      </c>
      <c r="O75" s="97">
        <f t="shared" si="34"/>
        <v>5.0980392156862744E-2</v>
      </c>
      <c r="P75" s="97">
        <f t="shared" si="35"/>
        <v>0.22352941176470589</v>
      </c>
      <c r="Q75" s="97">
        <f t="shared" si="36"/>
        <v>0.47450980392156861</v>
      </c>
      <c r="R75" s="4">
        <f t="shared" si="37"/>
        <v>0</v>
      </c>
      <c r="S75" s="4">
        <f t="shared" si="38"/>
        <v>0.18181818181818182</v>
      </c>
      <c r="T75" s="4">
        <f t="shared" si="39"/>
        <v>0.4462809917355372</v>
      </c>
      <c r="U75" s="4">
        <f t="shared" si="40"/>
        <v>5.0980392156862744E-2</v>
      </c>
      <c r="V75" s="4">
        <f t="shared" si="41"/>
        <v>0</v>
      </c>
      <c r="W75" s="4">
        <f t="shared" si="42"/>
        <v>0</v>
      </c>
      <c r="X75" s="4">
        <f t="shared" si="43"/>
        <v>0</v>
      </c>
      <c r="Y75" s="4">
        <f t="shared" si="44"/>
        <v>0</v>
      </c>
    </row>
    <row r="76" spans="1:25" ht="27" customHeight="1" x14ac:dyDescent="0.15">
      <c r="A76" s="1">
        <v>74</v>
      </c>
      <c r="B76" s="1" t="s">
        <v>215</v>
      </c>
      <c r="C76" s="1">
        <v>60</v>
      </c>
      <c r="G76" s="96" t="str">
        <f t="shared" si="30"/>
        <v>XF60</v>
      </c>
      <c r="H76" s="2" t="s">
        <v>67</v>
      </c>
      <c r="I76" s="68"/>
      <c r="K76" s="1" t="s">
        <v>162</v>
      </c>
      <c r="L76" s="1">
        <f t="shared" si="31"/>
        <v>199</v>
      </c>
      <c r="M76" s="1">
        <f t="shared" si="32"/>
        <v>178</v>
      </c>
      <c r="N76" s="1">
        <f t="shared" si="33"/>
        <v>64</v>
      </c>
      <c r="O76" s="97">
        <f t="shared" si="34"/>
        <v>0.2196078431372549</v>
      </c>
      <c r="P76" s="97">
        <f t="shared" si="35"/>
        <v>0.30196078431372547</v>
      </c>
      <c r="Q76" s="97">
        <f t="shared" si="36"/>
        <v>0.74901960784313726</v>
      </c>
      <c r="R76" s="4">
        <f t="shared" si="37"/>
        <v>0</v>
      </c>
      <c r="S76" s="4">
        <f t="shared" si="38"/>
        <v>0.10552763819095476</v>
      </c>
      <c r="T76" s="4">
        <f t="shared" si="39"/>
        <v>0.67839195979899503</v>
      </c>
      <c r="U76" s="4">
        <f t="shared" si="40"/>
        <v>0.2196078431372549</v>
      </c>
      <c r="V76" s="4">
        <f t="shared" si="41"/>
        <v>0</v>
      </c>
      <c r="W76" s="4">
        <f t="shared" si="42"/>
        <v>0</v>
      </c>
      <c r="X76" s="4">
        <f t="shared" si="43"/>
        <v>0</v>
      </c>
      <c r="Y76" s="4">
        <f t="shared" si="44"/>
        <v>0</v>
      </c>
    </row>
    <row r="77" spans="1:25" ht="27" customHeight="1" x14ac:dyDescent="0.15">
      <c r="A77" s="1">
        <v>75</v>
      </c>
      <c r="B77" s="1" t="s">
        <v>215</v>
      </c>
      <c r="C77" s="1">
        <v>61</v>
      </c>
      <c r="G77" s="96" t="str">
        <f t="shared" si="30"/>
        <v>XF61</v>
      </c>
      <c r="H77" s="2" t="s">
        <v>68</v>
      </c>
      <c r="I77" s="55"/>
      <c r="K77" s="1" t="s">
        <v>150</v>
      </c>
      <c r="L77" s="1">
        <f t="shared" si="31"/>
        <v>0</v>
      </c>
      <c r="M77" s="1">
        <f t="shared" si="32"/>
        <v>71</v>
      </c>
      <c r="N77" s="1">
        <f t="shared" si="33"/>
        <v>49</v>
      </c>
      <c r="O77" s="97">
        <f t="shared" si="34"/>
        <v>1</v>
      </c>
      <c r="P77" s="97">
        <f t="shared" si="35"/>
        <v>0.72156862745098038</v>
      </c>
      <c r="Q77" s="97">
        <f t="shared" si="36"/>
        <v>0.80784313725490198</v>
      </c>
      <c r="R77" s="4">
        <f t="shared" si="37"/>
        <v>1</v>
      </c>
      <c r="S77" s="4">
        <f t="shared" si="38"/>
        <v>0</v>
      </c>
      <c r="T77" s="4">
        <f t="shared" si="39"/>
        <v>0.30985915492957755</v>
      </c>
      <c r="U77" s="4">
        <f t="shared" si="40"/>
        <v>0.72156862745098038</v>
      </c>
      <c r="V77" s="4">
        <f t="shared" si="41"/>
        <v>0</v>
      </c>
      <c r="W77" s="4">
        <f t="shared" si="42"/>
        <v>0</v>
      </c>
      <c r="X77" s="4">
        <f t="shared" si="43"/>
        <v>0</v>
      </c>
      <c r="Y77" s="4">
        <f t="shared" si="44"/>
        <v>0</v>
      </c>
    </row>
    <row r="78" spans="1:25" ht="27" customHeight="1" x14ac:dyDescent="0.15">
      <c r="A78" s="1">
        <v>76</v>
      </c>
      <c r="B78" s="1" t="s">
        <v>215</v>
      </c>
      <c r="C78" s="1">
        <v>62</v>
      </c>
      <c r="G78" s="96" t="str">
        <f t="shared" si="30"/>
        <v>XF62</v>
      </c>
      <c r="H78" s="2" t="s">
        <v>69</v>
      </c>
      <c r="I78" s="69"/>
      <c r="K78" s="1" t="s">
        <v>163</v>
      </c>
      <c r="L78" s="1">
        <f t="shared" si="31"/>
        <v>72</v>
      </c>
      <c r="M78" s="1">
        <f t="shared" si="32"/>
        <v>90</v>
      </c>
      <c r="N78" s="1">
        <f t="shared" si="33"/>
        <v>60</v>
      </c>
      <c r="O78" s="97">
        <f t="shared" si="34"/>
        <v>0.71764705882352942</v>
      </c>
      <c r="P78" s="97">
        <f t="shared" si="35"/>
        <v>0.6470588235294118</v>
      </c>
      <c r="Q78" s="97">
        <f t="shared" si="36"/>
        <v>0.76470588235294112</v>
      </c>
      <c r="R78" s="4">
        <f t="shared" si="37"/>
        <v>0.19999999999999993</v>
      </c>
      <c r="S78" s="4">
        <f t="shared" si="38"/>
        <v>0</v>
      </c>
      <c r="T78" s="4">
        <f t="shared" si="39"/>
        <v>0.33333333333333315</v>
      </c>
      <c r="U78" s="4">
        <f t="shared" si="40"/>
        <v>0.6470588235294118</v>
      </c>
      <c r="V78" s="4">
        <f t="shared" si="41"/>
        <v>0</v>
      </c>
      <c r="W78" s="4">
        <f t="shared" si="42"/>
        <v>0</v>
      </c>
      <c r="X78" s="4">
        <f t="shared" si="43"/>
        <v>0</v>
      </c>
      <c r="Y78" s="4">
        <f t="shared" si="44"/>
        <v>0</v>
      </c>
    </row>
    <row r="79" spans="1:25" ht="27" customHeight="1" x14ac:dyDescent="0.15">
      <c r="A79" s="1">
        <v>77</v>
      </c>
      <c r="B79" s="1" t="s">
        <v>215</v>
      </c>
      <c r="C79" s="1">
        <v>63</v>
      </c>
      <c r="G79" s="96" t="str">
        <f t="shared" si="30"/>
        <v>XF63</v>
      </c>
      <c r="H79" s="2" t="s">
        <v>70</v>
      </c>
      <c r="I79" s="70"/>
      <c r="K79" s="1" t="s">
        <v>164</v>
      </c>
      <c r="L79" s="1">
        <f t="shared" si="31"/>
        <v>67</v>
      </c>
      <c r="M79" s="1">
        <f t="shared" si="32"/>
        <v>103</v>
      </c>
      <c r="N79" s="1">
        <f t="shared" si="33"/>
        <v>119</v>
      </c>
      <c r="O79" s="97">
        <f t="shared" si="34"/>
        <v>0.73725490196078436</v>
      </c>
      <c r="P79" s="97">
        <f t="shared" si="35"/>
        <v>0.59607843137254901</v>
      </c>
      <c r="Q79" s="97">
        <f t="shared" si="36"/>
        <v>0.53333333333333333</v>
      </c>
      <c r="R79" s="4">
        <f t="shared" si="37"/>
        <v>0.4369747899159665</v>
      </c>
      <c r="S79" s="4">
        <f t="shared" si="38"/>
        <v>0.13445378151260504</v>
      </c>
      <c r="T79" s="4">
        <f t="shared" si="39"/>
        <v>0</v>
      </c>
      <c r="U79" s="4">
        <f t="shared" si="40"/>
        <v>0.53333333333333333</v>
      </c>
      <c r="V79" s="4">
        <f t="shared" si="41"/>
        <v>0</v>
      </c>
      <c r="W79" s="4">
        <f t="shared" si="42"/>
        <v>0</v>
      </c>
      <c r="X79" s="4">
        <f t="shared" si="43"/>
        <v>0</v>
      </c>
      <c r="Y79" s="4">
        <f t="shared" si="44"/>
        <v>0</v>
      </c>
    </row>
    <row r="80" spans="1:25" ht="27" customHeight="1" x14ac:dyDescent="0.15">
      <c r="A80" s="1">
        <v>78</v>
      </c>
      <c r="B80" s="1" t="s">
        <v>215</v>
      </c>
      <c r="C80" s="1">
        <v>64</v>
      </c>
      <c r="G80" s="96" t="str">
        <f t="shared" si="30"/>
        <v>XF64</v>
      </c>
      <c r="H80" s="2" t="s">
        <v>71</v>
      </c>
      <c r="I80" s="71"/>
      <c r="K80" s="1" t="s">
        <v>165</v>
      </c>
      <c r="L80" s="1">
        <f t="shared" si="31"/>
        <v>80</v>
      </c>
      <c r="M80" s="1">
        <f t="shared" si="32"/>
        <v>57</v>
      </c>
      <c r="N80" s="1">
        <f t="shared" si="33"/>
        <v>40</v>
      </c>
      <c r="O80" s="97">
        <f t="shared" si="34"/>
        <v>0.68627450980392157</v>
      </c>
      <c r="P80" s="97">
        <f t="shared" si="35"/>
        <v>0.77647058823529413</v>
      </c>
      <c r="Q80" s="97">
        <f t="shared" si="36"/>
        <v>0.84313725490196079</v>
      </c>
      <c r="R80" s="4">
        <f t="shared" si="37"/>
        <v>0</v>
      </c>
      <c r="S80" s="4">
        <f t="shared" si="38"/>
        <v>0.28750000000000003</v>
      </c>
      <c r="T80" s="4">
        <f t="shared" si="39"/>
        <v>0.5</v>
      </c>
      <c r="U80" s="4">
        <f t="shared" si="40"/>
        <v>0.68627450980392157</v>
      </c>
      <c r="V80" s="4">
        <f t="shared" si="41"/>
        <v>0</v>
      </c>
      <c r="W80" s="4">
        <f t="shared" si="42"/>
        <v>0</v>
      </c>
      <c r="X80" s="4">
        <f t="shared" si="43"/>
        <v>0</v>
      </c>
      <c r="Y80" s="4">
        <f t="shared" si="44"/>
        <v>0</v>
      </c>
    </row>
    <row r="81" spans="1:25" ht="27" customHeight="1" x14ac:dyDescent="0.15">
      <c r="A81" s="1">
        <v>79</v>
      </c>
      <c r="B81" s="1" t="s">
        <v>215</v>
      </c>
      <c r="C81" s="1">
        <v>65</v>
      </c>
      <c r="G81" s="96" t="str">
        <f t="shared" si="30"/>
        <v>XF65</v>
      </c>
      <c r="H81" s="2" t="s">
        <v>72</v>
      </c>
      <c r="I81" s="72"/>
      <c r="K81" s="1" t="s">
        <v>166</v>
      </c>
      <c r="L81" s="1">
        <f t="shared" si="31"/>
        <v>62</v>
      </c>
      <c r="M81" s="1">
        <f t="shared" si="32"/>
        <v>107</v>
      </c>
      <c r="N81" s="1">
        <f t="shared" si="33"/>
        <v>118</v>
      </c>
      <c r="O81" s="97">
        <f t="shared" si="34"/>
        <v>0.75686274509803919</v>
      </c>
      <c r="P81" s="97">
        <f t="shared" si="35"/>
        <v>0.58039215686274515</v>
      </c>
      <c r="Q81" s="97">
        <f t="shared" si="36"/>
        <v>0.53725490196078429</v>
      </c>
      <c r="R81" s="4">
        <f t="shared" si="37"/>
        <v>0.47457627118644063</v>
      </c>
      <c r="S81" s="4">
        <f t="shared" si="38"/>
        <v>9.3220338983050988E-2</v>
      </c>
      <c r="T81" s="4">
        <f t="shared" si="39"/>
        <v>0</v>
      </c>
      <c r="U81" s="4">
        <f t="shared" si="40"/>
        <v>0.53725490196078429</v>
      </c>
      <c r="V81" s="4">
        <f t="shared" si="41"/>
        <v>0</v>
      </c>
      <c r="W81" s="4">
        <f t="shared" si="42"/>
        <v>0</v>
      </c>
      <c r="X81" s="4">
        <f t="shared" si="43"/>
        <v>0</v>
      </c>
      <c r="Y81" s="4">
        <f t="shared" si="44"/>
        <v>0</v>
      </c>
    </row>
    <row r="82" spans="1:25" ht="27" customHeight="1" x14ac:dyDescent="0.15">
      <c r="A82" s="1">
        <v>80</v>
      </c>
      <c r="B82" s="1" t="s">
        <v>215</v>
      </c>
      <c r="C82" s="1">
        <v>66</v>
      </c>
      <c r="G82" s="96" t="str">
        <f t="shared" si="30"/>
        <v>XF66</v>
      </c>
      <c r="H82" s="2" t="s">
        <v>73</v>
      </c>
      <c r="I82" s="73"/>
      <c r="K82" s="1" t="s">
        <v>167</v>
      </c>
      <c r="L82" s="1">
        <f t="shared" si="31"/>
        <v>80</v>
      </c>
      <c r="M82" s="1">
        <f t="shared" si="32"/>
        <v>105</v>
      </c>
      <c r="N82" s="1">
        <f t="shared" si="33"/>
        <v>118</v>
      </c>
      <c r="O82" s="97">
        <f t="shared" si="34"/>
        <v>0.68627450980392157</v>
      </c>
      <c r="P82" s="97">
        <f t="shared" si="35"/>
        <v>0.58823529411764708</v>
      </c>
      <c r="Q82" s="97">
        <f t="shared" si="36"/>
        <v>0.53725490196078429</v>
      </c>
      <c r="R82" s="4">
        <f t="shared" si="37"/>
        <v>0.32203389830508478</v>
      </c>
      <c r="S82" s="4">
        <f t="shared" si="38"/>
        <v>0.11016949152542381</v>
      </c>
      <c r="T82" s="4">
        <f t="shared" si="39"/>
        <v>0</v>
      </c>
      <c r="U82" s="4">
        <f t="shared" si="40"/>
        <v>0.53725490196078429</v>
      </c>
      <c r="V82" s="4">
        <f t="shared" si="41"/>
        <v>0</v>
      </c>
      <c r="W82" s="4">
        <f t="shared" si="42"/>
        <v>0</v>
      </c>
      <c r="X82" s="4">
        <f t="shared" si="43"/>
        <v>0</v>
      </c>
      <c r="Y82" s="4">
        <f t="shared" si="44"/>
        <v>0</v>
      </c>
    </row>
    <row r="83" spans="1:25" ht="27" customHeight="1" x14ac:dyDescent="0.15">
      <c r="A83" s="1">
        <v>81</v>
      </c>
      <c r="B83" s="1" t="s">
        <v>215</v>
      </c>
      <c r="C83" s="1">
        <v>67</v>
      </c>
      <c r="G83" s="96" t="str">
        <f t="shared" si="30"/>
        <v>XF67</v>
      </c>
      <c r="H83" s="2" t="s">
        <v>74</v>
      </c>
      <c r="I83" s="74"/>
      <c r="K83" s="1" t="s">
        <v>169</v>
      </c>
      <c r="L83" s="1">
        <f t="shared" si="31"/>
        <v>41</v>
      </c>
      <c r="M83" s="1">
        <f t="shared" si="32"/>
        <v>85</v>
      </c>
      <c r="N83" s="1">
        <f t="shared" si="33"/>
        <v>56</v>
      </c>
      <c r="O83" s="97">
        <f t="shared" si="34"/>
        <v>0.83921568627450982</v>
      </c>
      <c r="P83" s="97">
        <f t="shared" si="35"/>
        <v>0.66666666666666663</v>
      </c>
      <c r="Q83" s="97">
        <f t="shared" si="36"/>
        <v>0.7803921568627451</v>
      </c>
      <c r="R83" s="4">
        <f t="shared" si="37"/>
        <v>0.51764705882352946</v>
      </c>
      <c r="S83" s="4">
        <f t="shared" si="38"/>
        <v>0</v>
      </c>
      <c r="T83" s="4">
        <f t="shared" si="39"/>
        <v>0.34117647058823536</v>
      </c>
      <c r="U83" s="4">
        <f t="shared" si="40"/>
        <v>0.66666666666666663</v>
      </c>
      <c r="V83" s="4">
        <f t="shared" si="41"/>
        <v>0</v>
      </c>
      <c r="W83" s="4">
        <f t="shared" si="42"/>
        <v>0</v>
      </c>
      <c r="X83" s="4">
        <f t="shared" si="43"/>
        <v>0</v>
      </c>
      <c r="Y83" s="4">
        <f t="shared" si="44"/>
        <v>0</v>
      </c>
    </row>
    <row r="84" spans="1:25" ht="27" customHeight="1" x14ac:dyDescent="0.15">
      <c r="A84" s="1">
        <v>82</v>
      </c>
      <c r="B84" s="1" t="s">
        <v>215</v>
      </c>
      <c r="C84" s="1">
        <v>68</v>
      </c>
      <c r="G84" s="96" t="str">
        <f t="shared" si="30"/>
        <v>XF68</v>
      </c>
      <c r="H84" s="2" t="s">
        <v>76</v>
      </c>
      <c r="I84" s="75"/>
      <c r="K84" s="1" t="s">
        <v>168</v>
      </c>
      <c r="L84" s="1">
        <f t="shared" si="31"/>
        <v>106</v>
      </c>
      <c r="M84" s="1">
        <f t="shared" si="32"/>
        <v>75</v>
      </c>
      <c r="N84" s="1">
        <f t="shared" si="33"/>
        <v>49</v>
      </c>
      <c r="O84" s="97">
        <f t="shared" si="34"/>
        <v>0.58431372549019611</v>
      </c>
      <c r="P84" s="97">
        <f t="shared" si="35"/>
        <v>0.70588235294117652</v>
      </c>
      <c r="Q84" s="97">
        <f t="shared" si="36"/>
        <v>0.80784313725490198</v>
      </c>
      <c r="R84" s="4">
        <f t="shared" si="37"/>
        <v>0</v>
      </c>
      <c r="S84" s="4">
        <f t="shared" si="38"/>
        <v>0.29245283018867929</v>
      </c>
      <c r="T84" s="4">
        <f t="shared" si="39"/>
        <v>0.53773584905660377</v>
      </c>
      <c r="U84" s="4">
        <f t="shared" si="40"/>
        <v>0.58431372549019611</v>
      </c>
      <c r="V84" s="4">
        <f t="shared" si="41"/>
        <v>0</v>
      </c>
      <c r="W84" s="4">
        <f t="shared" si="42"/>
        <v>0</v>
      </c>
      <c r="X84" s="4">
        <f t="shared" si="43"/>
        <v>0</v>
      </c>
      <c r="Y84" s="4">
        <f t="shared" si="44"/>
        <v>0</v>
      </c>
    </row>
    <row r="85" spans="1:25" ht="27" customHeight="1" x14ac:dyDescent="0.15">
      <c r="A85" s="1">
        <v>83</v>
      </c>
      <c r="B85" s="1" t="s">
        <v>215</v>
      </c>
      <c r="C85" s="1">
        <v>69</v>
      </c>
      <c r="G85" s="96" t="str">
        <f t="shared" si="30"/>
        <v>XF69</v>
      </c>
      <c r="H85" s="2" t="s">
        <v>75</v>
      </c>
      <c r="I85" s="3"/>
      <c r="K85" s="1" t="s">
        <v>100</v>
      </c>
      <c r="L85" s="1">
        <f t="shared" si="31"/>
        <v>35</v>
      </c>
      <c r="M85" s="1">
        <f t="shared" si="32"/>
        <v>25</v>
      </c>
      <c r="N85" s="1">
        <f t="shared" si="33"/>
        <v>22</v>
      </c>
      <c r="O85" s="97">
        <f t="shared" si="34"/>
        <v>0.86274509803921573</v>
      </c>
      <c r="P85" s="97">
        <f t="shared" si="35"/>
        <v>0.90196078431372551</v>
      </c>
      <c r="Q85" s="97">
        <f t="shared" si="36"/>
        <v>0.9137254901960784</v>
      </c>
      <c r="R85" s="4">
        <f t="shared" si="37"/>
        <v>0</v>
      </c>
      <c r="S85" s="4">
        <f t="shared" si="38"/>
        <v>0.28571428571428559</v>
      </c>
      <c r="T85" s="4">
        <f t="shared" si="39"/>
        <v>0.37142857142857105</v>
      </c>
      <c r="U85" s="4">
        <f t="shared" si="40"/>
        <v>0.86274509803921573</v>
      </c>
      <c r="V85" s="4">
        <f t="shared" si="41"/>
        <v>0</v>
      </c>
      <c r="W85" s="4">
        <f t="shared" si="42"/>
        <v>0</v>
      </c>
      <c r="X85" s="4">
        <f t="shared" si="43"/>
        <v>0</v>
      </c>
      <c r="Y85" s="4">
        <f t="shared" si="44"/>
        <v>0</v>
      </c>
    </row>
    <row r="86" spans="1:25" ht="27" customHeight="1" x14ac:dyDescent="0.15">
      <c r="A86" s="1">
        <v>84</v>
      </c>
      <c r="B86" s="1" t="s">
        <v>215</v>
      </c>
      <c r="C86" s="1">
        <v>70</v>
      </c>
      <c r="G86" s="96" t="str">
        <f t="shared" si="30"/>
        <v>XF70</v>
      </c>
      <c r="H86" s="2" t="s">
        <v>77</v>
      </c>
      <c r="I86" s="76"/>
      <c r="K86" s="1" t="s">
        <v>170</v>
      </c>
      <c r="L86" s="1">
        <f t="shared" si="31"/>
        <v>6</v>
      </c>
      <c r="M86" s="1">
        <f t="shared" si="32"/>
        <v>66</v>
      </c>
      <c r="N86" s="1">
        <f t="shared" si="33"/>
        <v>52</v>
      </c>
      <c r="O86" s="97">
        <f t="shared" si="34"/>
        <v>0.97647058823529409</v>
      </c>
      <c r="P86" s="97">
        <f t="shared" si="35"/>
        <v>0.74117647058823533</v>
      </c>
      <c r="Q86" s="97">
        <f t="shared" si="36"/>
        <v>0.79607843137254897</v>
      </c>
      <c r="R86" s="4">
        <f t="shared" si="37"/>
        <v>0.90909090909090895</v>
      </c>
      <c r="S86" s="4">
        <f t="shared" si="38"/>
        <v>0</v>
      </c>
      <c r="T86" s="4">
        <f t="shared" si="39"/>
        <v>0.21212121212121182</v>
      </c>
      <c r="U86" s="4">
        <f t="shared" si="40"/>
        <v>0.74117647058823533</v>
      </c>
      <c r="V86" s="4">
        <f t="shared" si="41"/>
        <v>0</v>
      </c>
      <c r="W86" s="4">
        <f t="shared" si="42"/>
        <v>0</v>
      </c>
      <c r="X86" s="4">
        <f t="shared" si="43"/>
        <v>0</v>
      </c>
      <c r="Y86" s="4">
        <f t="shared" si="44"/>
        <v>0</v>
      </c>
    </row>
    <row r="87" spans="1:25" ht="27" customHeight="1" x14ac:dyDescent="0.15">
      <c r="A87" s="1">
        <v>85</v>
      </c>
      <c r="B87" s="1" t="s">
        <v>215</v>
      </c>
      <c r="C87" s="1">
        <v>71</v>
      </c>
      <c r="G87" s="96" t="str">
        <f t="shared" si="30"/>
        <v>XF71</v>
      </c>
      <c r="H87" s="2" t="s">
        <v>78</v>
      </c>
      <c r="I87" s="77"/>
      <c r="K87" s="1" t="s">
        <v>171</v>
      </c>
      <c r="L87" s="1">
        <f t="shared" si="31"/>
        <v>117</v>
      </c>
      <c r="M87" s="1">
        <f t="shared" si="32"/>
        <v>152</v>
      </c>
      <c r="N87" s="1">
        <f t="shared" si="33"/>
        <v>117</v>
      </c>
      <c r="O87" s="97">
        <f t="shared" si="34"/>
        <v>0.54117647058823526</v>
      </c>
      <c r="P87" s="97">
        <f t="shared" si="35"/>
        <v>0.40392156862745099</v>
      </c>
      <c r="Q87" s="97">
        <f t="shared" si="36"/>
        <v>0.54117647058823526</v>
      </c>
      <c r="R87" s="4">
        <f t="shared" si="37"/>
        <v>0.23026315789473678</v>
      </c>
      <c r="S87" s="4">
        <f t="shared" si="38"/>
        <v>0</v>
      </c>
      <c r="T87" s="4">
        <f t="shared" si="39"/>
        <v>0.23026315789473678</v>
      </c>
      <c r="U87" s="4">
        <f t="shared" si="40"/>
        <v>0.40392156862745099</v>
      </c>
      <c r="V87" s="4">
        <f t="shared" si="41"/>
        <v>0</v>
      </c>
      <c r="W87" s="4">
        <f t="shared" si="42"/>
        <v>0</v>
      </c>
      <c r="X87" s="4">
        <f t="shared" si="43"/>
        <v>0</v>
      </c>
      <c r="Y87" s="4">
        <f t="shared" si="44"/>
        <v>0</v>
      </c>
    </row>
    <row r="88" spans="1:25" ht="27" customHeight="1" x14ac:dyDescent="0.15">
      <c r="A88" s="1">
        <v>86</v>
      </c>
      <c r="B88" s="1" t="s">
        <v>215</v>
      </c>
      <c r="C88" s="1">
        <v>72</v>
      </c>
      <c r="G88" s="96" t="str">
        <f t="shared" si="30"/>
        <v>XF72</v>
      </c>
      <c r="H88" s="2" t="s">
        <v>79</v>
      </c>
      <c r="I88" s="78"/>
      <c r="K88" s="1" t="s">
        <v>172</v>
      </c>
      <c r="L88" s="1">
        <f t="shared" si="31"/>
        <v>127</v>
      </c>
      <c r="M88" s="1">
        <f t="shared" si="32"/>
        <v>92</v>
      </c>
      <c r="N88" s="1">
        <f t="shared" si="33"/>
        <v>46</v>
      </c>
      <c r="O88" s="97">
        <f t="shared" si="34"/>
        <v>0.50196078431372548</v>
      </c>
      <c r="P88" s="97">
        <f t="shared" si="35"/>
        <v>0.63921568627450975</v>
      </c>
      <c r="Q88" s="97">
        <f t="shared" si="36"/>
        <v>0.81960784313725488</v>
      </c>
      <c r="R88" s="4">
        <f t="shared" si="37"/>
        <v>0</v>
      </c>
      <c r="S88" s="4">
        <f t="shared" si="38"/>
        <v>0.27559055118110226</v>
      </c>
      <c r="T88" s="4">
        <f t="shared" si="39"/>
        <v>0.63779527559055116</v>
      </c>
      <c r="U88" s="4">
        <f t="shared" si="40"/>
        <v>0.50196078431372548</v>
      </c>
      <c r="V88" s="4">
        <f t="shared" si="41"/>
        <v>0</v>
      </c>
      <c r="W88" s="4">
        <f t="shared" si="42"/>
        <v>0</v>
      </c>
      <c r="X88" s="4">
        <f t="shared" si="43"/>
        <v>0</v>
      </c>
      <c r="Y88" s="4">
        <f t="shared" si="44"/>
        <v>0</v>
      </c>
    </row>
    <row r="89" spans="1:25" ht="27" customHeight="1" x14ac:dyDescent="0.15">
      <c r="A89" s="1">
        <v>87</v>
      </c>
      <c r="B89" s="1" t="s">
        <v>215</v>
      </c>
      <c r="C89" s="1">
        <v>73</v>
      </c>
      <c r="G89" s="96" t="str">
        <f t="shared" si="30"/>
        <v>XF73</v>
      </c>
      <c r="H89" s="2" t="s">
        <v>80</v>
      </c>
      <c r="I89" s="79"/>
      <c r="K89" s="1" t="s">
        <v>173</v>
      </c>
      <c r="L89" s="1">
        <f t="shared" si="31"/>
        <v>33</v>
      </c>
      <c r="M89" s="1">
        <f t="shared" si="32"/>
        <v>96</v>
      </c>
      <c r="N89" s="1">
        <f t="shared" si="33"/>
        <v>58</v>
      </c>
      <c r="O89" s="97">
        <f t="shared" si="34"/>
        <v>0.87058823529411766</v>
      </c>
      <c r="P89" s="97">
        <f t="shared" si="35"/>
        <v>0.62352941176470589</v>
      </c>
      <c r="Q89" s="97">
        <f t="shared" si="36"/>
        <v>0.77254901960784317</v>
      </c>
      <c r="R89" s="4">
        <f t="shared" si="37"/>
        <v>0.65625</v>
      </c>
      <c r="S89" s="4">
        <f t="shared" si="38"/>
        <v>0</v>
      </c>
      <c r="T89" s="4">
        <f t="shared" si="39"/>
        <v>0.39583333333333343</v>
      </c>
      <c r="U89" s="4">
        <f t="shared" si="40"/>
        <v>0.62352941176470589</v>
      </c>
      <c r="V89" s="4">
        <f t="shared" si="41"/>
        <v>0</v>
      </c>
      <c r="W89" s="4">
        <f t="shared" si="42"/>
        <v>0</v>
      </c>
      <c r="X89" s="4">
        <f t="shared" si="43"/>
        <v>0</v>
      </c>
      <c r="Y89" s="4">
        <f t="shared" si="44"/>
        <v>0</v>
      </c>
    </row>
    <row r="90" spans="1:25" ht="27" customHeight="1" x14ac:dyDescent="0.15">
      <c r="A90" s="1">
        <v>88</v>
      </c>
      <c r="B90" s="1" t="s">
        <v>215</v>
      </c>
      <c r="C90" s="1">
        <v>74</v>
      </c>
      <c r="G90" s="96" t="str">
        <f t="shared" si="30"/>
        <v>XF74</v>
      </c>
      <c r="H90" s="2" t="s">
        <v>81</v>
      </c>
      <c r="I90" s="74"/>
      <c r="K90" s="1" t="s">
        <v>169</v>
      </c>
      <c r="L90" s="1">
        <f t="shared" si="31"/>
        <v>41</v>
      </c>
      <c r="M90" s="1">
        <f t="shared" si="32"/>
        <v>85</v>
      </c>
      <c r="N90" s="1">
        <f t="shared" si="33"/>
        <v>56</v>
      </c>
      <c r="O90" s="97">
        <f t="shared" si="34"/>
        <v>0.83921568627450982</v>
      </c>
      <c r="P90" s="97">
        <f t="shared" si="35"/>
        <v>0.66666666666666663</v>
      </c>
      <c r="Q90" s="97">
        <f t="shared" si="36"/>
        <v>0.7803921568627451</v>
      </c>
      <c r="R90" s="4">
        <f t="shared" si="37"/>
        <v>0.51764705882352946</v>
      </c>
      <c r="S90" s="4">
        <f t="shared" si="38"/>
        <v>0</v>
      </c>
      <c r="T90" s="4">
        <f t="shared" si="39"/>
        <v>0.34117647058823536</v>
      </c>
      <c r="U90" s="4">
        <f t="shared" si="40"/>
        <v>0.66666666666666663</v>
      </c>
      <c r="V90" s="4">
        <f t="shared" si="41"/>
        <v>0</v>
      </c>
      <c r="W90" s="4">
        <f t="shared" si="42"/>
        <v>0</v>
      </c>
      <c r="X90" s="4">
        <f t="shared" si="43"/>
        <v>0</v>
      </c>
      <c r="Y90" s="4">
        <f t="shared" si="44"/>
        <v>0</v>
      </c>
    </row>
    <row r="91" spans="1:25" ht="27" customHeight="1" x14ac:dyDescent="0.15">
      <c r="A91" s="1">
        <v>89</v>
      </c>
      <c r="B91" s="1" t="s">
        <v>215</v>
      </c>
      <c r="C91" s="1">
        <v>75</v>
      </c>
      <c r="G91" s="96" t="str">
        <f t="shared" si="30"/>
        <v>XF75</v>
      </c>
      <c r="H91" s="2" t="s">
        <v>82</v>
      </c>
      <c r="I91" s="80"/>
      <c r="K91" s="1" t="s">
        <v>174</v>
      </c>
      <c r="L91" s="1">
        <f t="shared" si="31"/>
        <v>113</v>
      </c>
      <c r="M91" s="1">
        <f t="shared" si="32"/>
        <v>123</v>
      </c>
      <c r="N91" s="1">
        <f t="shared" si="33"/>
        <v>133</v>
      </c>
      <c r="O91" s="97">
        <f t="shared" si="34"/>
        <v>0.55686274509803924</v>
      </c>
      <c r="P91" s="97">
        <f t="shared" si="35"/>
        <v>0.51764705882352946</v>
      </c>
      <c r="Q91" s="97">
        <f t="shared" si="36"/>
        <v>0.47843137254901963</v>
      </c>
      <c r="R91" s="4">
        <f t="shared" si="37"/>
        <v>0.15037593984962408</v>
      </c>
      <c r="S91" s="4">
        <f t="shared" si="38"/>
        <v>7.5187969924812095E-2</v>
      </c>
      <c r="T91" s="4">
        <f t="shared" si="39"/>
        <v>0</v>
      </c>
      <c r="U91" s="4">
        <f t="shared" si="40"/>
        <v>0.47843137254901963</v>
      </c>
      <c r="V91" s="4">
        <f t="shared" si="41"/>
        <v>0</v>
      </c>
      <c r="W91" s="4">
        <f t="shared" si="42"/>
        <v>0</v>
      </c>
      <c r="X91" s="4">
        <f t="shared" si="43"/>
        <v>0</v>
      </c>
      <c r="Y91" s="4">
        <f t="shared" si="44"/>
        <v>0</v>
      </c>
    </row>
    <row r="92" spans="1:25" ht="27" customHeight="1" x14ac:dyDescent="0.15">
      <c r="A92" s="1">
        <v>90</v>
      </c>
      <c r="B92" s="1" t="s">
        <v>215</v>
      </c>
      <c r="C92" s="1">
        <v>76</v>
      </c>
      <c r="G92" s="96" t="str">
        <f t="shared" si="30"/>
        <v>XF76</v>
      </c>
      <c r="H92" s="2" t="s">
        <v>83</v>
      </c>
      <c r="I92" s="81"/>
      <c r="K92" s="1" t="s">
        <v>175</v>
      </c>
      <c r="L92" s="1">
        <f t="shared" si="31"/>
        <v>185</v>
      </c>
      <c r="M92" s="1">
        <f t="shared" si="32"/>
        <v>195</v>
      </c>
      <c r="N92" s="1">
        <f t="shared" si="33"/>
        <v>167</v>
      </c>
      <c r="O92" s="97">
        <f t="shared" si="34"/>
        <v>0.27450980392156865</v>
      </c>
      <c r="P92" s="97">
        <f t="shared" si="35"/>
        <v>0.23529411764705882</v>
      </c>
      <c r="Q92" s="97">
        <f t="shared" si="36"/>
        <v>0.34509803921568627</v>
      </c>
      <c r="R92" s="4">
        <f t="shared" si="37"/>
        <v>5.1282051282051322E-2</v>
      </c>
      <c r="S92" s="4">
        <f t="shared" si="38"/>
        <v>0</v>
      </c>
      <c r="T92" s="4">
        <f t="shared" si="39"/>
        <v>0.14358974358974361</v>
      </c>
      <c r="U92" s="4">
        <f t="shared" si="40"/>
        <v>0.23529411764705882</v>
      </c>
      <c r="V92" s="4">
        <f t="shared" si="41"/>
        <v>0</v>
      </c>
      <c r="W92" s="4">
        <f t="shared" si="42"/>
        <v>0</v>
      </c>
      <c r="X92" s="4">
        <f t="shared" si="43"/>
        <v>0</v>
      </c>
      <c r="Y92" s="4">
        <f t="shared" si="44"/>
        <v>0</v>
      </c>
    </row>
    <row r="93" spans="1:25" ht="27" customHeight="1" x14ac:dyDescent="0.15">
      <c r="A93" s="1">
        <v>91</v>
      </c>
      <c r="B93" s="1" t="s">
        <v>215</v>
      </c>
      <c r="C93" s="1">
        <v>77</v>
      </c>
      <c r="G93" s="96" t="str">
        <f t="shared" si="30"/>
        <v>XF77</v>
      </c>
      <c r="H93" s="2" t="s">
        <v>84</v>
      </c>
      <c r="I93" s="82"/>
      <c r="K93" s="1" t="s">
        <v>176</v>
      </c>
      <c r="L93" s="1">
        <f t="shared" si="31"/>
        <v>83</v>
      </c>
      <c r="M93" s="1">
        <f t="shared" si="32"/>
        <v>87</v>
      </c>
      <c r="N93" s="1">
        <f t="shared" si="33"/>
        <v>96</v>
      </c>
      <c r="O93" s="97">
        <f t="shared" si="34"/>
        <v>0.67450980392156867</v>
      </c>
      <c r="P93" s="97">
        <f t="shared" si="35"/>
        <v>0.6588235294117647</v>
      </c>
      <c r="Q93" s="97">
        <f t="shared" si="36"/>
        <v>0.62352941176470589</v>
      </c>
      <c r="R93" s="4">
        <f t="shared" si="37"/>
        <v>0.13541666666666677</v>
      </c>
      <c r="S93" s="4">
        <f t="shared" si="38"/>
        <v>9.3749999999999958E-2</v>
      </c>
      <c r="T93" s="4">
        <f t="shared" si="39"/>
        <v>0</v>
      </c>
      <c r="U93" s="4">
        <f t="shared" si="40"/>
        <v>0.62352941176470589</v>
      </c>
      <c r="V93" s="4">
        <f t="shared" si="41"/>
        <v>0</v>
      </c>
      <c r="W93" s="4">
        <f t="shared" si="42"/>
        <v>0</v>
      </c>
      <c r="X93" s="4">
        <f t="shared" si="43"/>
        <v>0</v>
      </c>
      <c r="Y93" s="4">
        <f t="shared" si="44"/>
        <v>0</v>
      </c>
    </row>
    <row r="94" spans="1:25" ht="27" customHeight="1" x14ac:dyDescent="0.15">
      <c r="A94" s="1">
        <v>92</v>
      </c>
      <c r="B94" s="1" t="s">
        <v>215</v>
      </c>
      <c r="C94" s="1">
        <v>78</v>
      </c>
      <c r="G94" s="96" t="str">
        <f t="shared" si="30"/>
        <v>XF78</v>
      </c>
      <c r="H94" s="2" t="s">
        <v>88</v>
      </c>
      <c r="I94" s="83"/>
      <c r="K94" s="1" t="s">
        <v>177</v>
      </c>
      <c r="L94" s="1">
        <f t="shared" si="31"/>
        <v>190</v>
      </c>
      <c r="M94" s="1">
        <f t="shared" si="32"/>
        <v>175</v>
      </c>
      <c r="N94" s="1">
        <f t="shared" si="33"/>
        <v>133</v>
      </c>
      <c r="O94" s="97">
        <f t="shared" si="34"/>
        <v>0.25490196078431371</v>
      </c>
      <c r="P94" s="97">
        <f t="shared" si="35"/>
        <v>0.31372549019607843</v>
      </c>
      <c r="Q94" s="97">
        <f t="shared" si="36"/>
        <v>0.47843137254901963</v>
      </c>
      <c r="R94" s="4">
        <f t="shared" si="37"/>
        <v>0</v>
      </c>
      <c r="S94" s="4">
        <f t="shared" si="38"/>
        <v>7.8947368421052641E-2</v>
      </c>
      <c r="T94" s="4">
        <f t="shared" si="39"/>
        <v>0.30000000000000004</v>
      </c>
      <c r="U94" s="4">
        <f t="shared" si="40"/>
        <v>0.25490196078431371</v>
      </c>
      <c r="V94" s="4">
        <f t="shared" si="41"/>
        <v>0</v>
      </c>
      <c r="W94" s="4">
        <f t="shared" si="42"/>
        <v>0</v>
      </c>
      <c r="X94" s="4">
        <f t="shared" si="43"/>
        <v>0</v>
      </c>
      <c r="Y94" s="4">
        <f t="shared" si="44"/>
        <v>0</v>
      </c>
    </row>
    <row r="95" spans="1:25" ht="27" customHeight="1" x14ac:dyDescent="0.15">
      <c r="A95" s="1">
        <v>93</v>
      </c>
      <c r="B95" s="1" t="s">
        <v>215</v>
      </c>
      <c r="C95" s="1">
        <v>79</v>
      </c>
      <c r="G95" s="96" t="str">
        <f t="shared" si="30"/>
        <v>XF79</v>
      </c>
      <c r="H95" s="2" t="s">
        <v>89</v>
      </c>
      <c r="I95" s="84"/>
      <c r="K95" s="1" t="s">
        <v>178</v>
      </c>
      <c r="L95" s="1">
        <f t="shared" si="31"/>
        <v>93</v>
      </c>
      <c r="M95" s="1">
        <f t="shared" si="32"/>
        <v>74</v>
      </c>
      <c r="N95" s="1">
        <f t="shared" si="33"/>
        <v>51</v>
      </c>
      <c r="O95" s="97">
        <f t="shared" si="34"/>
        <v>0.63529411764705879</v>
      </c>
      <c r="P95" s="97">
        <f t="shared" si="35"/>
        <v>0.70980392156862748</v>
      </c>
      <c r="Q95" s="97">
        <f t="shared" si="36"/>
        <v>0.8</v>
      </c>
      <c r="R95" s="4">
        <f t="shared" si="37"/>
        <v>0</v>
      </c>
      <c r="S95" s="4">
        <f t="shared" si="38"/>
        <v>0.20430107526881738</v>
      </c>
      <c r="T95" s="4">
        <f t="shared" si="39"/>
        <v>0.45161290322580661</v>
      </c>
      <c r="U95" s="4">
        <f t="shared" si="40"/>
        <v>0.63529411764705879</v>
      </c>
      <c r="V95" s="4">
        <f t="shared" si="41"/>
        <v>0</v>
      </c>
      <c r="W95" s="4">
        <f t="shared" si="42"/>
        <v>0</v>
      </c>
      <c r="X95" s="4">
        <f t="shared" si="43"/>
        <v>0</v>
      </c>
      <c r="Y95" s="4">
        <f t="shared" si="44"/>
        <v>0</v>
      </c>
    </row>
    <row r="96" spans="1:25" ht="27" customHeight="1" x14ac:dyDescent="0.15">
      <c r="A96" s="1">
        <v>94</v>
      </c>
      <c r="B96" s="1" t="s">
        <v>215</v>
      </c>
      <c r="C96" s="1">
        <v>80</v>
      </c>
      <c r="G96" s="96" t="str">
        <f t="shared" si="30"/>
        <v>XF80</v>
      </c>
      <c r="H96" s="2" t="s">
        <v>85</v>
      </c>
      <c r="I96" s="85"/>
      <c r="K96" s="1" t="s">
        <v>179</v>
      </c>
      <c r="L96" s="1">
        <f t="shared" si="31"/>
        <v>193</v>
      </c>
      <c r="M96" s="1">
        <f t="shared" si="32"/>
        <v>202</v>
      </c>
      <c r="N96" s="1">
        <f t="shared" si="33"/>
        <v>200</v>
      </c>
      <c r="O96" s="97">
        <f t="shared" si="34"/>
        <v>0.24313725490196078</v>
      </c>
      <c r="P96" s="97">
        <f t="shared" si="35"/>
        <v>0.20784313725490197</v>
      </c>
      <c r="Q96" s="97">
        <f t="shared" si="36"/>
        <v>0.21568627450980393</v>
      </c>
      <c r="R96" s="4">
        <f t="shared" si="37"/>
        <v>4.4554455445544539E-2</v>
      </c>
      <c r="S96" s="4">
        <f t="shared" si="38"/>
        <v>0</v>
      </c>
      <c r="T96" s="4">
        <f t="shared" si="39"/>
        <v>9.9009900990099011E-3</v>
      </c>
      <c r="U96" s="4">
        <f t="shared" si="40"/>
        <v>0.20784313725490197</v>
      </c>
      <c r="V96" s="4">
        <f t="shared" si="41"/>
        <v>0</v>
      </c>
      <c r="W96" s="4">
        <f t="shared" si="42"/>
        <v>0</v>
      </c>
      <c r="X96" s="4">
        <f t="shared" si="43"/>
        <v>0</v>
      </c>
      <c r="Y96" s="4">
        <f t="shared" si="44"/>
        <v>0</v>
      </c>
    </row>
    <row r="97" spans="1:25" ht="27" customHeight="1" x14ac:dyDescent="0.15">
      <c r="A97" s="1">
        <v>95</v>
      </c>
      <c r="B97" s="1" t="s">
        <v>215</v>
      </c>
      <c r="C97" s="1">
        <v>81</v>
      </c>
      <c r="G97" s="96" t="str">
        <f t="shared" si="30"/>
        <v>XF81</v>
      </c>
      <c r="H97" s="2" t="s">
        <v>86</v>
      </c>
      <c r="I97" s="86"/>
      <c r="K97" s="1" t="s">
        <v>180</v>
      </c>
      <c r="L97" s="1">
        <f t="shared" si="31"/>
        <v>52</v>
      </c>
      <c r="M97" s="1">
        <f t="shared" si="32"/>
        <v>85</v>
      </c>
      <c r="N97" s="1">
        <f t="shared" si="33"/>
        <v>51</v>
      </c>
      <c r="O97" s="97">
        <f t="shared" si="34"/>
        <v>0.79607843137254897</v>
      </c>
      <c r="P97" s="97">
        <f t="shared" si="35"/>
        <v>0.66666666666666663</v>
      </c>
      <c r="Q97" s="97">
        <f t="shared" si="36"/>
        <v>0.8</v>
      </c>
      <c r="R97" s="4">
        <f t="shared" si="37"/>
        <v>0.38823529411764696</v>
      </c>
      <c r="S97" s="4">
        <f t="shared" si="38"/>
        <v>0</v>
      </c>
      <c r="T97" s="4">
        <f t="shared" si="39"/>
        <v>0.40000000000000019</v>
      </c>
      <c r="U97" s="4">
        <f t="shared" si="40"/>
        <v>0.66666666666666663</v>
      </c>
      <c r="V97" s="4">
        <f t="shared" si="41"/>
        <v>0</v>
      </c>
      <c r="W97" s="4">
        <f t="shared" si="42"/>
        <v>0</v>
      </c>
      <c r="X97" s="4">
        <f t="shared" si="43"/>
        <v>0</v>
      </c>
      <c r="Y97" s="4">
        <f t="shared" si="44"/>
        <v>0</v>
      </c>
    </row>
    <row r="98" spans="1:25" ht="27" customHeight="1" x14ac:dyDescent="0.15">
      <c r="A98" s="1">
        <v>96</v>
      </c>
      <c r="B98" s="1" t="s">
        <v>215</v>
      </c>
      <c r="C98" s="1">
        <v>82</v>
      </c>
      <c r="G98" s="96" t="str">
        <f t="shared" si="30"/>
        <v>XF82</v>
      </c>
      <c r="H98" s="2" t="s">
        <v>87</v>
      </c>
      <c r="I98" s="87"/>
      <c r="K98" s="1" t="s">
        <v>181</v>
      </c>
      <c r="L98" s="1">
        <f t="shared" si="31"/>
        <v>107</v>
      </c>
      <c r="M98" s="1">
        <f t="shared" si="32"/>
        <v>141</v>
      </c>
      <c r="N98" s="1">
        <f t="shared" si="33"/>
        <v>154</v>
      </c>
      <c r="O98" s="97">
        <f t="shared" si="34"/>
        <v>0.58039215686274515</v>
      </c>
      <c r="P98" s="97">
        <f t="shared" si="35"/>
        <v>0.44705882352941179</v>
      </c>
      <c r="Q98" s="97">
        <f t="shared" si="36"/>
        <v>0.396078431372549</v>
      </c>
      <c r="R98" s="4">
        <f t="shared" si="37"/>
        <v>0.30519480519480524</v>
      </c>
      <c r="S98" s="4">
        <f t="shared" si="38"/>
        <v>8.4415584415584471E-2</v>
      </c>
      <c r="T98" s="4">
        <f t="shared" si="39"/>
        <v>0</v>
      </c>
      <c r="U98" s="4">
        <f t="shared" si="40"/>
        <v>0.396078431372549</v>
      </c>
      <c r="V98" s="4">
        <f t="shared" si="41"/>
        <v>0</v>
      </c>
      <c r="W98" s="4">
        <f t="shared" si="42"/>
        <v>0</v>
      </c>
      <c r="X98" s="4">
        <f t="shared" si="43"/>
        <v>0</v>
      </c>
      <c r="Y98" s="4">
        <f t="shared" si="44"/>
        <v>0</v>
      </c>
    </row>
    <row r="99" spans="1:25" ht="27" customHeight="1" x14ac:dyDescent="0.15">
      <c r="A99" s="1">
        <v>97</v>
      </c>
      <c r="B99" s="1" t="s">
        <v>215</v>
      </c>
      <c r="C99" s="1">
        <v>83</v>
      </c>
      <c r="G99" s="96" t="str">
        <f t="shared" ref="G99:G109" si="45">B99&amp;C99&amp;D99</f>
        <v>XF83</v>
      </c>
      <c r="H99" s="2" t="s">
        <v>92</v>
      </c>
      <c r="I99" s="88"/>
      <c r="K99" s="1" t="s">
        <v>182</v>
      </c>
      <c r="L99" s="1">
        <f t="shared" ref="L99:L109" si="46">HEX2DEC(MID(K99,9,2))</f>
        <v>170</v>
      </c>
      <c r="M99" s="1">
        <f t="shared" ref="M99:M109" si="47">HEX2DEC(MID(K99,7,2))</f>
        <v>190</v>
      </c>
      <c r="N99" s="1">
        <f t="shared" ref="N99:N109" si="48">HEX2DEC(MID(K99,5,2))</f>
        <v>186</v>
      </c>
      <c r="O99" s="97">
        <f t="shared" ref="O99:O109" si="49">(255-L99)/255</f>
        <v>0.33333333333333331</v>
      </c>
      <c r="P99" s="97">
        <f t="shared" ref="P99:P109" si="50">(255-M99)/255</f>
        <v>0.25490196078431371</v>
      </c>
      <c r="Q99" s="97">
        <f t="shared" ref="Q99:Q109" si="51">(255-N99)/255</f>
        <v>0.27058823529411763</v>
      </c>
      <c r="R99" s="4">
        <f t="shared" ref="R99:R109" si="52">(O99-U99)/(1-U99)</f>
        <v>0.10526315789473684</v>
      </c>
      <c r="S99" s="4">
        <f t="shared" ref="S99:S109" si="53">(P99-U99)/(1-U99)</f>
        <v>0</v>
      </c>
      <c r="T99" s="4">
        <f t="shared" ref="T99:T109" si="54">(Q99-U99)/(1-U99)</f>
        <v>2.1052631578947368E-2</v>
      </c>
      <c r="U99" s="4">
        <f t="shared" ref="U99:U109" si="55">MIN(O99,P99,Q99)</f>
        <v>0.25490196078431371</v>
      </c>
      <c r="V99" s="4">
        <f t="shared" ref="V99:V109" si="56">J99*R99</f>
        <v>0</v>
      </c>
      <c r="W99" s="4">
        <f t="shared" ref="W99:W109" si="57">J99*S99</f>
        <v>0</v>
      </c>
      <c r="X99" s="4">
        <f t="shared" ref="X99:X109" si="58">J99*T99</f>
        <v>0</v>
      </c>
      <c r="Y99" s="4">
        <f t="shared" ref="Y99:Y109" si="59">J99*U99</f>
        <v>0</v>
      </c>
    </row>
    <row r="100" spans="1:25" ht="27" customHeight="1" x14ac:dyDescent="0.15">
      <c r="A100" s="1">
        <v>98</v>
      </c>
      <c r="B100" s="1" t="s">
        <v>215</v>
      </c>
      <c r="C100" s="1">
        <v>84</v>
      </c>
      <c r="G100" s="96" t="str">
        <f t="shared" si="45"/>
        <v>XF84</v>
      </c>
      <c r="H100" s="2" t="s">
        <v>90</v>
      </c>
      <c r="I100" s="89"/>
      <c r="K100" s="1" t="s">
        <v>183</v>
      </c>
      <c r="L100" s="1">
        <f t="shared" si="46"/>
        <v>81</v>
      </c>
      <c r="M100" s="1">
        <f t="shared" si="47"/>
        <v>67</v>
      </c>
      <c r="N100" s="1">
        <f t="shared" si="48"/>
        <v>51</v>
      </c>
      <c r="O100" s="97">
        <f t="shared" si="49"/>
        <v>0.68235294117647061</v>
      </c>
      <c r="P100" s="97">
        <f t="shared" si="50"/>
        <v>0.73725490196078436</v>
      </c>
      <c r="Q100" s="97">
        <f t="shared" si="51"/>
        <v>0.8</v>
      </c>
      <c r="R100" s="4">
        <f t="shared" si="52"/>
        <v>0</v>
      </c>
      <c r="S100" s="4">
        <f t="shared" si="53"/>
        <v>0.17283950617283961</v>
      </c>
      <c r="T100" s="4">
        <f t="shared" si="54"/>
        <v>0.37037037037037046</v>
      </c>
      <c r="U100" s="4">
        <f t="shared" si="55"/>
        <v>0.68235294117647061</v>
      </c>
      <c r="V100" s="4">
        <f t="shared" si="56"/>
        <v>0</v>
      </c>
      <c r="W100" s="4">
        <f t="shared" si="57"/>
        <v>0</v>
      </c>
      <c r="X100" s="4">
        <f t="shared" si="58"/>
        <v>0</v>
      </c>
      <c r="Y100" s="4">
        <f t="shared" si="59"/>
        <v>0</v>
      </c>
    </row>
    <row r="101" spans="1:25" ht="27" customHeight="1" x14ac:dyDescent="0.15">
      <c r="A101" s="1">
        <v>99</v>
      </c>
      <c r="B101" s="1" t="s">
        <v>215</v>
      </c>
      <c r="C101" s="1">
        <v>85</v>
      </c>
      <c r="G101" s="96" t="str">
        <f t="shared" si="45"/>
        <v>XF85</v>
      </c>
      <c r="H101" s="2" t="s">
        <v>91</v>
      </c>
      <c r="I101" s="3"/>
      <c r="K101" s="1" t="s">
        <v>100</v>
      </c>
      <c r="L101" s="1">
        <f t="shared" si="46"/>
        <v>35</v>
      </c>
      <c r="M101" s="1">
        <f t="shared" si="47"/>
        <v>25</v>
      </c>
      <c r="N101" s="1">
        <f t="shared" si="48"/>
        <v>22</v>
      </c>
      <c r="O101" s="97">
        <f t="shared" si="49"/>
        <v>0.86274509803921573</v>
      </c>
      <c r="P101" s="97">
        <f t="shared" si="50"/>
        <v>0.90196078431372551</v>
      </c>
      <c r="Q101" s="97">
        <f t="shared" si="51"/>
        <v>0.9137254901960784</v>
      </c>
      <c r="R101" s="4">
        <f t="shared" si="52"/>
        <v>0</v>
      </c>
      <c r="S101" s="4">
        <f t="shared" si="53"/>
        <v>0.28571428571428559</v>
      </c>
      <c r="T101" s="4">
        <f t="shared" si="54"/>
        <v>0.37142857142857105</v>
      </c>
      <c r="U101" s="4">
        <f t="shared" si="55"/>
        <v>0.86274509803921573</v>
      </c>
      <c r="V101" s="4">
        <f t="shared" si="56"/>
        <v>0</v>
      </c>
      <c r="W101" s="4">
        <f t="shared" si="57"/>
        <v>0</v>
      </c>
      <c r="X101" s="4">
        <f t="shared" si="58"/>
        <v>0</v>
      </c>
      <c r="Y101" s="4">
        <f t="shared" si="59"/>
        <v>0</v>
      </c>
    </row>
    <row r="102" spans="1:25" ht="25.5" customHeight="1" x14ac:dyDescent="0.15">
      <c r="A102" s="1">
        <v>100</v>
      </c>
      <c r="B102" s="1" t="s">
        <v>215</v>
      </c>
      <c r="C102" s="1">
        <v>86</v>
      </c>
      <c r="E102" s="1" t="s">
        <v>211</v>
      </c>
      <c r="G102" s="96" t="str">
        <f t="shared" si="45"/>
        <v>XF86</v>
      </c>
      <c r="H102" s="2" t="s">
        <v>184</v>
      </c>
      <c r="I102" s="5"/>
      <c r="K102" s="1" t="s">
        <v>101</v>
      </c>
      <c r="L102" s="1">
        <f t="shared" si="46"/>
        <v>255</v>
      </c>
      <c r="M102" s="1">
        <f t="shared" si="47"/>
        <v>255</v>
      </c>
      <c r="N102" s="1">
        <f t="shared" si="48"/>
        <v>255</v>
      </c>
      <c r="O102" s="97">
        <f t="shared" si="49"/>
        <v>0</v>
      </c>
      <c r="P102" s="97">
        <f t="shared" si="50"/>
        <v>0</v>
      </c>
      <c r="Q102" s="97">
        <f t="shared" si="51"/>
        <v>0</v>
      </c>
      <c r="R102" s="4">
        <f t="shared" si="52"/>
        <v>0</v>
      </c>
      <c r="S102" s="4">
        <f t="shared" si="53"/>
        <v>0</v>
      </c>
      <c r="T102" s="4">
        <f t="shared" si="54"/>
        <v>0</v>
      </c>
      <c r="U102" s="4">
        <f t="shared" si="55"/>
        <v>0</v>
      </c>
      <c r="V102" s="4">
        <f t="shared" si="56"/>
        <v>0</v>
      </c>
      <c r="W102" s="4">
        <f t="shared" si="57"/>
        <v>0</v>
      </c>
      <c r="X102" s="4">
        <f t="shared" si="58"/>
        <v>0</v>
      </c>
      <c r="Y102" s="4">
        <f t="shared" si="59"/>
        <v>0</v>
      </c>
    </row>
    <row r="103" spans="1:25" ht="27" customHeight="1" x14ac:dyDescent="0.15">
      <c r="A103" s="1">
        <v>101</v>
      </c>
      <c r="B103" s="1" t="s">
        <v>215</v>
      </c>
      <c r="C103" s="1">
        <v>87</v>
      </c>
      <c r="G103" s="96" t="str">
        <f t="shared" si="45"/>
        <v>XF87</v>
      </c>
      <c r="H103" s="2" t="s">
        <v>207</v>
      </c>
      <c r="I103" s="90"/>
      <c r="K103" s="1" t="s">
        <v>185</v>
      </c>
      <c r="L103" s="1">
        <f t="shared" si="46"/>
        <v>125</v>
      </c>
      <c r="M103" s="1">
        <f t="shared" si="47"/>
        <v>128</v>
      </c>
      <c r="N103" s="1">
        <f t="shared" si="48"/>
        <v>134</v>
      </c>
      <c r="O103" s="97">
        <f t="shared" si="49"/>
        <v>0.50980392156862742</v>
      </c>
      <c r="P103" s="97">
        <f t="shared" si="50"/>
        <v>0.49803921568627452</v>
      </c>
      <c r="Q103" s="97">
        <f t="shared" si="51"/>
        <v>0.47450980392156861</v>
      </c>
      <c r="R103" s="4">
        <f t="shared" si="52"/>
        <v>6.7164179104477584E-2</v>
      </c>
      <c r="S103" s="4">
        <f t="shared" si="53"/>
        <v>4.4776119402985128E-2</v>
      </c>
      <c r="T103" s="4">
        <f t="shared" si="54"/>
        <v>0</v>
      </c>
      <c r="U103" s="4">
        <f t="shared" si="55"/>
        <v>0.47450980392156861</v>
      </c>
      <c r="V103" s="4">
        <f t="shared" si="56"/>
        <v>0</v>
      </c>
      <c r="W103" s="4">
        <f t="shared" si="57"/>
        <v>0</v>
      </c>
      <c r="X103" s="4">
        <f t="shared" si="58"/>
        <v>0</v>
      </c>
      <c r="Y103" s="4">
        <f t="shared" si="59"/>
        <v>0</v>
      </c>
    </row>
    <row r="104" spans="1:25" ht="27" customHeight="1" x14ac:dyDescent="0.15">
      <c r="A104" s="1">
        <v>102</v>
      </c>
      <c r="B104" s="1" t="s">
        <v>215</v>
      </c>
      <c r="C104" s="1">
        <v>88</v>
      </c>
      <c r="G104" s="96" t="str">
        <f t="shared" si="45"/>
        <v>XF88</v>
      </c>
      <c r="H104" s="2" t="s">
        <v>95</v>
      </c>
      <c r="I104" s="91"/>
      <c r="K104" s="1" t="s">
        <v>186</v>
      </c>
      <c r="L104" s="1">
        <f t="shared" si="46"/>
        <v>200</v>
      </c>
      <c r="M104" s="1">
        <f t="shared" si="47"/>
        <v>179</v>
      </c>
      <c r="N104" s="1">
        <f t="shared" si="48"/>
        <v>75</v>
      </c>
      <c r="O104" s="97">
        <f t="shared" si="49"/>
        <v>0.21568627450980393</v>
      </c>
      <c r="P104" s="97">
        <f t="shared" si="50"/>
        <v>0.29803921568627451</v>
      </c>
      <c r="Q104" s="97">
        <f t="shared" si="51"/>
        <v>0.70588235294117652</v>
      </c>
      <c r="R104" s="4">
        <f t="shared" si="52"/>
        <v>0</v>
      </c>
      <c r="S104" s="4">
        <f t="shared" si="53"/>
        <v>0.10499999999999998</v>
      </c>
      <c r="T104" s="4">
        <f t="shared" si="54"/>
        <v>0.625</v>
      </c>
      <c r="U104" s="4">
        <f t="shared" si="55"/>
        <v>0.21568627450980393</v>
      </c>
      <c r="V104" s="4">
        <f t="shared" si="56"/>
        <v>0</v>
      </c>
      <c r="W104" s="4">
        <f t="shared" si="57"/>
        <v>0</v>
      </c>
      <c r="X104" s="4">
        <f t="shared" si="58"/>
        <v>0</v>
      </c>
      <c r="Y104" s="4">
        <f t="shared" si="59"/>
        <v>0</v>
      </c>
    </row>
    <row r="105" spans="1:25" ht="27" customHeight="1" x14ac:dyDescent="0.15">
      <c r="A105" s="1">
        <v>103</v>
      </c>
      <c r="B105" s="1" t="s">
        <v>215</v>
      </c>
      <c r="C105" s="1">
        <v>89</v>
      </c>
      <c r="G105" s="96" t="str">
        <f t="shared" si="45"/>
        <v>XF89</v>
      </c>
      <c r="H105" s="2" t="s">
        <v>94</v>
      </c>
      <c r="I105" s="33"/>
      <c r="K105" s="1" t="s">
        <v>128</v>
      </c>
      <c r="L105" s="1">
        <f t="shared" si="46"/>
        <v>91</v>
      </c>
      <c r="M105" s="1">
        <f t="shared" si="47"/>
        <v>132</v>
      </c>
      <c r="N105" s="1">
        <f t="shared" si="48"/>
        <v>97</v>
      </c>
      <c r="O105" s="97">
        <f t="shared" si="49"/>
        <v>0.64313725490196083</v>
      </c>
      <c r="P105" s="97">
        <f t="shared" si="50"/>
        <v>0.4823529411764706</v>
      </c>
      <c r="Q105" s="97">
        <f t="shared" si="51"/>
        <v>0.61960784313725492</v>
      </c>
      <c r="R105" s="4">
        <f t="shared" si="52"/>
        <v>0.31060606060606072</v>
      </c>
      <c r="S105" s="4">
        <f t="shared" si="53"/>
        <v>0</v>
      </c>
      <c r="T105" s="4">
        <f t="shared" si="54"/>
        <v>0.26515151515151519</v>
      </c>
      <c r="U105" s="4">
        <f t="shared" si="55"/>
        <v>0.4823529411764706</v>
      </c>
      <c r="V105" s="4">
        <f t="shared" si="56"/>
        <v>0</v>
      </c>
      <c r="W105" s="4">
        <f t="shared" si="57"/>
        <v>0</v>
      </c>
      <c r="X105" s="4">
        <f t="shared" si="58"/>
        <v>0</v>
      </c>
      <c r="Y105" s="4">
        <f t="shared" si="59"/>
        <v>0</v>
      </c>
    </row>
    <row r="106" spans="1:25" ht="27" customHeight="1" x14ac:dyDescent="0.15">
      <c r="A106" s="1">
        <v>104</v>
      </c>
      <c r="B106" s="1" t="s">
        <v>215</v>
      </c>
      <c r="C106" s="1">
        <v>90</v>
      </c>
      <c r="G106" s="96" t="str">
        <f t="shared" si="45"/>
        <v>XF90</v>
      </c>
      <c r="H106" s="2" t="s">
        <v>93</v>
      </c>
      <c r="I106" s="38"/>
      <c r="K106" s="1" t="s">
        <v>133</v>
      </c>
      <c r="L106" s="1">
        <f t="shared" si="46"/>
        <v>79</v>
      </c>
      <c r="M106" s="1">
        <f t="shared" si="47"/>
        <v>57</v>
      </c>
      <c r="N106" s="1">
        <f t="shared" si="48"/>
        <v>51</v>
      </c>
      <c r="O106" s="97">
        <f t="shared" si="49"/>
        <v>0.69019607843137254</v>
      </c>
      <c r="P106" s="97">
        <f t="shared" si="50"/>
        <v>0.77647058823529413</v>
      </c>
      <c r="Q106" s="97">
        <f t="shared" si="51"/>
        <v>0.8</v>
      </c>
      <c r="R106" s="4">
        <f t="shared" si="52"/>
        <v>0</v>
      </c>
      <c r="S106" s="4">
        <f t="shared" si="53"/>
        <v>0.27848101265822794</v>
      </c>
      <c r="T106" s="4">
        <f t="shared" si="54"/>
        <v>0.35443037974683561</v>
      </c>
      <c r="U106" s="4">
        <f t="shared" si="55"/>
        <v>0.69019607843137254</v>
      </c>
      <c r="V106" s="4">
        <f t="shared" si="56"/>
        <v>0</v>
      </c>
      <c r="W106" s="4">
        <f t="shared" si="57"/>
        <v>0</v>
      </c>
      <c r="X106" s="4">
        <f t="shared" si="58"/>
        <v>0</v>
      </c>
      <c r="Y106" s="4">
        <f t="shared" si="59"/>
        <v>0</v>
      </c>
    </row>
    <row r="107" spans="1:25" ht="27" customHeight="1" x14ac:dyDescent="0.15">
      <c r="A107" s="1">
        <v>105</v>
      </c>
      <c r="B107" s="1" t="s">
        <v>215</v>
      </c>
      <c r="C107" s="1">
        <v>91</v>
      </c>
      <c r="G107" s="96" t="str">
        <f t="shared" si="45"/>
        <v>XF91</v>
      </c>
      <c r="H107" s="2" t="s">
        <v>206</v>
      </c>
      <c r="I107" s="92"/>
      <c r="K107" s="1" t="s">
        <v>187</v>
      </c>
      <c r="L107" s="1">
        <f t="shared" si="46"/>
        <v>99</v>
      </c>
      <c r="M107" s="1">
        <f t="shared" si="47"/>
        <v>106</v>
      </c>
      <c r="N107" s="1">
        <f t="shared" si="48"/>
        <v>116</v>
      </c>
      <c r="O107" s="97">
        <f t="shared" si="49"/>
        <v>0.61176470588235299</v>
      </c>
      <c r="P107" s="97">
        <f t="shared" si="50"/>
        <v>0.58431372549019611</v>
      </c>
      <c r="Q107" s="97">
        <f t="shared" si="51"/>
        <v>0.54509803921568623</v>
      </c>
      <c r="R107" s="4">
        <f t="shared" si="52"/>
        <v>0.14655172413793122</v>
      </c>
      <c r="S107" s="4">
        <f t="shared" si="53"/>
        <v>8.620689655172431E-2</v>
      </c>
      <c r="T107" s="4">
        <f t="shared" si="54"/>
        <v>0</v>
      </c>
      <c r="U107" s="4">
        <f t="shared" si="55"/>
        <v>0.54509803921568623</v>
      </c>
      <c r="V107" s="4">
        <f t="shared" si="56"/>
        <v>0</v>
      </c>
      <c r="W107" s="4">
        <f t="shared" si="57"/>
        <v>0</v>
      </c>
      <c r="X107" s="4">
        <f t="shared" si="58"/>
        <v>0</v>
      </c>
      <c r="Y107" s="4">
        <f t="shared" si="59"/>
        <v>0</v>
      </c>
    </row>
    <row r="108" spans="1:25" ht="27" customHeight="1" x14ac:dyDescent="0.15">
      <c r="A108" s="1">
        <v>106</v>
      </c>
      <c r="B108" s="1" t="s">
        <v>215</v>
      </c>
      <c r="C108" s="1">
        <v>92</v>
      </c>
      <c r="G108" s="96" t="str">
        <f t="shared" si="45"/>
        <v>XF92</v>
      </c>
      <c r="H108" s="2" t="s">
        <v>96</v>
      </c>
      <c r="I108" s="93"/>
      <c r="K108" s="1" t="s">
        <v>188</v>
      </c>
      <c r="L108" s="1">
        <f t="shared" si="46"/>
        <v>177</v>
      </c>
      <c r="M108" s="1">
        <f t="shared" si="47"/>
        <v>130</v>
      </c>
      <c r="N108" s="1">
        <f t="shared" si="48"/>
        <v>80</v>
      </c>
      <c r="O108" s="97">
        <f t="shared" si="49"/>
        <v>0.30588235294117649</v>
      </c>
      <c r="P108" s="97">
        <f t="shared" si="50"/>
        <v>0.49019607843137253</v>
      </c>
      <c r="Q108" s="97">
        <f t="shared" si="51"/>
        <v>0.68627450980392157</v>
      </c>
      <c r="R108" s="4">
        <f t="shared" si="52"/>
        <v>0</v>
      </c>
      <c r="S108" s="4">
        <f t="shared" si="53"/>
        <v>0.26553672316384175</v>
      </c>
      <c r="T108" s="4">
        <f t="shared" si="54"/>
        <v>0.54802259887005644</v>
      </c>
      <c r="U108" s="4">
        <f t="shared" si="55"/>
        <v>0.30588235294117649</v>
      </c>
      <c r="V108" s="4">
        <f t="shared" si="56"/>
        <v>0</v>
      </c>
      <c r="W108" s="4">
        <f t="shared" si="57"/>
        <v>0</v>
      </c>
      <c r="X108" s="4">
        <f t="shared" si="58"/>
        <v>0</v>
      </c>
      <c r="Y108" s="4">
        <f t="shared" si="59"/>
        <v>0</v>
      </c>
    </row>
    <row r="109" spans="1:25" ht="27" customHeight="1" x14ac:dyDescent="0.15">
      <c r="A109" s="1">
        <v>107</v>
      </c>
      <c r="B109" s="1" t="s">
        <v>215</v>
      </c>
      <c r="C109" s="1">
        <v>93</v>
      </c>
      <c r="G109" s="96" t="str">
        <f t="shared" si="45"/>
        <v>XF93</v>
      </c>
      <c r="H109" s="2" t="s">
        <v>97</v>
      </c>
      <c r="I109" s="94"/>
      <c r="K109" s="1" t="s">
        <v>189</v>
      </c>
      <c r="L109" s="1">
        <f t="shared" si="46"/>
        <v>230</v>
      </c>
      <c r="M109" s="1">
        <f t="shared" si="47"/>
        <v>179</v>
      </c>
      <c r="N109" s="1">
        <f t="shared" si="48"/>
        <v>110</v>
      </c>
      <c r="O109" s="97">
        <f t="shared" si="49"/>
        <v>9.8039215686274508E-2</v>
      </c>
      <c r="P109" s="97">
        <f t="shared" si="50"/>
        <v>0.29803921568627451</v>
      </c>
      <c r="Q109" s="97">
        <f t="shared" si="51"/>
        <v>0.56862745098039214</v>
      </c>
      <c r="R109" s="4">
        <f t="shared" si="52"/>
        <v>0</v>
      </c>
      <c r="S109" s="4">
        <f t="shared" si="53"/>
        <v>0.22173913043478261</v>
      </c>
      <c r="T109" s="4">
        <f t="shared" si="54"/>
        <v>0.52173913043478259</v>
      </c>
      <c r="U109" s="4">
        <f t="shared" si="55"/>
        <v>9.8039215686274508E-2</v>
      </c>
      <c r="V109" s="4">
        <f t="shared" si="56"/>
        <v>0</v>
      </c>
      <c r="W109" s="4">
        <f t="shared" si="57"/>
        <v>0</v>
      </c>
      <c r="X109" s="4">
        <f t="shared" si="58"/>
        <v>0</v>
      </c>
      <c r="Y109" s="4">
        <f t="shared" si="59"/>
        <v>0</v>
      </c>
    </row>
  </sheetData>
  <autoFilter ref="A2:W109"/>
  <sortState ref="A3:Y109">
    <sortCondition ref="A3:A109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>
    <tabColor rgb="FF8C9DA3"/>
  </sheetPr>
  <dimension ref="A1:Y109"/>
  <sheetViews>
    <sheetView zoomScale="130" zoomScaleNormal="130" workbookViewId="0">
      <pane xSplit="4" ySplit="2" topLeftCell="E3" activePane="bottomRight" state="frozen"/>
      <selection pane="topRight" activeCell="E1" sqref="E1"/>
      <selection pane="bottomLeft" activeCell="A2" sqref="A2"/>
      <selection pane="bottomRight"/>
    </sheetView>
  </sheetViews>
  <sheetFormatPr defaultRowHeight="25.5" customHeight="1" x14ac:dyDescent="0.15"/>
  <cols>
    <col min="1" max="1" width="9.5" style="1" bestFit="1" customWidth="1"/>
    <col min="2" max="3" width="6.5" style="1" hidden="1" customWidth="1"/>
    <col min="4" max="4" width="6.5" style="2" hidden="1" customWidth="1"/>
    <col min="5" max="5" width="6.5" style="1" bestFit="1" customWidth="1"/>
    <col min="6" max="6" width="7.5" style="1" bestFit="1" customWidth="1"/>
    <col min="7" max="7" width="9.5" style="1" bestFit="1" customWidth="1"/>
    <col min="8" max="8" width="42.75" style="2" bestFit="1" customWidth="1"/>
    <col min="9" max="9" width="11.5" style="95" bestFit="1" customWidth="1"/>
    <col min="10" max="10" width="9.5" style="98" bestFit="1" customWidth="1"/>
    <col min="11" max="11" width="12.75" style="1" hidden="1" customWidth="1"/>
    <col min="12" max="14" width="6.5" style="1" hidden="1" customWidth="1"/>
    <col min="15" max="17" width="7.5" style="97" hidden="1" customWidth="1"/>
    <col min="18" max="21" width="7.5" style="4" hidden="1" customWidth="1"/>
    <col min="22" max="23" width="8.5" style="4" hidden="1" customWidth="1"/>
    <col min="24" max="25" width="7.5" style="4" hidden="1" customWidth="1"/>
    <col min="26" max="16384" width="9" style="2"/>
  </cols>
  <sheetData>
    <row r="1" spans="1:25" ht="47.25" customHeight="1" x14ac:dyDescent="0.15">
      <c r="B1" s="98">
        <f>SUM(J3:J109)</f>
        <v>4</v>
      </c>
      <c r="H1" s="2" t="s">
        <v>232</v>
      </c>
      <c r="I1" s="104"/>
      <c r="K1" s="1" t="str">
        <f>"&amp;h00"&amp;DEC2HEX(N1,2)&amp;DEC2HEX(M1,2)&amp;DEC2HEX(L1,2)&amp;"&amp;"</f>
        <v>&amp;h00A39D8C&amp;</v>
      </c>
      <c r="L1" s="1">
        <f>(1-O1)*255</f>
        <v>140.60100852138609</v>
      </c>
      <c r="M1" s="1">
        <f>(1-P1)*255</f>
        <v>157.07475391842129</v>
      </c>
      <c r="N1" s="1">
        <f>(1-Q1)*255</f>
        <v>163.25000000000003</v>
      </c>
      <c r="O1" s="97">
        <f>MIN(1,R1*(1-U1)+U1)</f>
        <v>0.44862349599456436</v>
      </c>
      <c r="P1" s="97">
        <f>MIN(1,S1*(1-U1)+U1)</f>
        <v>0.38402057286893604</v>
      </c>
      <c r="Q1" s="97">
        <f>MIN(1,T1*(1-U1)+U1)</f>
        <v>0.35980392156862739</v>
      </c>
      <c r="R1" s="4">
        <f>IFERROR(SUM(V3:V109)/B1,0)</f>
        <v>0.13873807950146355</v>
      </c>
      <c r="S1" s="4">
        <f>IFERROR(SUM(W3:W109)/B1,0)</f>
        <v>3.782692852421872E-2</v>
      </c>
      <c r="T1" s="4">
        <f>IFERROR(SUM(X3:X109)/B1,0)</f>
        <v>0</v>
      </c>
      <c r="U1" s="4">
        <f>IFERROR(SUM(Y3:Y109)/B1,0)</f>
        <v>0.35980392156862739</v>
      </c>
    </row>
    <row r="2" spans="1:25" ht="43.5" customHeight="1" x14ac:dyDescent="0.15">
      <c r="A2" s="99" t="s">
        <v>190</v>
      </c>
      <c r="B2" s="99" t="s">
        <v>200</v>
      </c>
      <c r="C2" s="99" t="s">
        <v>201</v>
      </c>
      <c r="D2" s="99" t="s">
        <v>202</v>
      </c>
      <c r="E2" s="99" t="s">
        <v>212</v>
      </c>
      <c r="F2" s="99" t="s">
        <v>198</v>
      </c>
      <c r="G2" s="100" t="s">
        <v>191</v>
      </c>
      <c r="H2" s="99" t="s">
        <v>192</v>
      </c>
      <c r="I2" s="101" t="s">
        <v>196</v>
      </c>
      <c r="J2" s="101" t="s">
        <v>221</v>
      </c>
      <c r="K2" s="99" t="s">
        <v>193</v>
      </c>
      <c r="L2" s="99" t="s">
        <v>199</v>
      </c>
      <c r="M2" s="99" t="s">
        <v>194</v>
      </c>
      <c r="N2" s="99" t="s">
        <v>195</v>
      </c>
      <c r="O2" s="103" t="s">
        <v>203</v>
      </c>
      <c r="P2" s="103" t="s">
        <v>204</v>
      </c>
      <c r="Q2" s="103" t="s">
        <v>205</v>
      </c>
      <c r="R2" s="99" t="s">
        <v>222</v>
      </c>
      <c r="S2" s="99" t="s">
        <v>223</v>
      </c>
      <c r="T2" s="99" t="s">
        <v>224</v>
      </c>
      <c r="U2" s="99" t="s">
        <v>225</v>
      </c>
      <c r="V2" s="102" t="s">
        <v>226</v>
      </c>
      <c r="W2" s="102" t="s">
        <v>227</v>
      </c>
      <c r="X2" s="102" t="s">
        <v>228</v>
      </c>
      <c r="Y2" s="102" t="s">
        <v>229</v>
      </c>
    </row>
    <row r="3" spans="1:25" ht="27" hidden="1" customHeight="1" x14ac:dyDescent="0.15">
      <c r="A3" s="1">
        <v>1</v>
      </c>
      <c r="B3" s="1" t="s">
        <v>214</v>
      </c>
      <c r="C3" s="1">
        <v>1</v>
      </c>
      <c r="G3" s="96" t="str">
        <f t="shared" ref="G3:G66" si="0">B3&amp;C3&amp;D3</f>
        <v>X1</v>
      </c>
      <c r="H3" s="2" t="s">
        <v>0</v>
      </c>
      <c r="I3" s="3"/>
      <c r="K3" s="1" t="s">
        <v>100</v>
      </c>
      <c r="L3" s="1">
        <f t="shared" ref="L3:L66" si="1">HEX2DEC(MID(K3,9,2))</f>
        <v>35</v>
      </c>
      <c r="M3" s="1">
        <f t="shared" ref="M3:M66" si="2">HEX2DEC(MID(K3,7,2))</f>
        <v>25</v>
      </c>
      <c r="N3" s="1">
        <f t="shared" ref="N3:N66" si="3">HEX2DEC(MID(K3,5,2))</f>
        <v>22</v>
      </c>
      <c r="O3" s="97">
        <f t="shared" ref="O3:Q34" si="4">(255-L3)/255</f>
        <v>0.86274509803921573</v>
      </c>
      <c r="P3" s="97">
        <f t="shared" si="4"/>
        <v>0.90196078431372551</v>
      </c>
      <c r="Q3" s="97">
        <f t="shared" si="4"/>
        <v>0.9137254901960784</v>
      </c>
      <c r="R3" s="4">
        <f t="shared" ref="R3:R66" si="5">(O3-U3)/(1-U3)</f>
        <v>0</v>
      </c>
      <c r="S3" s="4">
        <f t="shared" ref="S3:S66" si="6">(P3-U3)/(1-U3)</f>
        <v>0.28571428571428559</v>
      </c>
      <c r="T3" s="4">
        <f t="shared" ref="T3:T66" si="7">(Q3-U3)/(1-U3)</f>
        <v>0.37142857142857105</v>
      </c>
      <c r="U3" s="4">
        <f t="shared" ref="U3:U66" si="8">MIN(O3,P3,Q3)</f>
        <v>0.86274509803921573</v>
      </c>
      <c r="V3" s="4">
        <f t="shared" ref="V3:V66" si="9">J3*R3</f>
        <v>0</v>
      </c>
      <c r="W3" s="4">
        <f t="shared" ref="W3:W66" si="10">J3*S3</f>
        <v>0</v>
      </c>
      <c r="X3" s="4">
        <f t="shared" ref="X3:X66" si="11">J3*T3</f>
        <v>0</v>
      </c>
      <c r="Y3" s="4">
        <f t="shared" ref="Y3:Y66" si="12">J3*U3</f>
        <v>0</v>
      </c>
    </row>
    <row r="4" spans="1:25" ht="27" hidden="1" customHeight="1" x14ac:dyDescent="0.15">
      <c r="A4" s="1">
        <v>2</v>
      </c>
      <c r="B4" s="1" t="s">
        <v>214</v>
      </c>
      <c r="C4" s="1">
        <v>2</v>
      </c>
      <c r="G4" s="96" t="str">
        <f t="shared" si="0"/>
        <v>X2</v>
      </c>
      <c r="H4" s="2" t="s">
        <v>1</v>
      </c>
      <c r="I4" s="5"/>
      <c r="K4" s="1" t="s">
        <v>101</v>
      </c>
      <c r="L4" s="1">
        <f t="shared" si="1"/>
        <v>255</v>
      </c>
      <c r="M4" s="1">
        <f t="shared" si="2"/>
        <v>255</v>
      </c>
      <c r="N4" s="1">
        <f t="shared" si="3"/>
        <v>255</v>
      </c>
      <c r="O4" s="97">
        <f t="shared" si="4"/>
        <v>0</v>
      </c>
      <c r="P4" s="97">
        <f t="shared" si="4"/>
        <v>0</v>
      </c>
      <c r="Q4" s="97">
        <f t="shared" si="4"/>
        <v>0</v>
      </c>
      <c r="R4" s="4">
        <f t="shared" si="5"/>
        <v>0</v>
      </c>
      <c r="S4" s="4">
        <f t="shared" si="6"/>
        <v>0</v>
      </c>
      <c r="T4" s="4">
        <f t="shared" si="7"/>
        <v>0</v>
      </c>
      <c r="U4" s="4">
        <f t="shared" si="8"/>
        <v>0</v>
      </c>
      <c r="V4" s="4">
        <f t="shared" si="9"/>
        <v>0</v>
      </c>
      <c r="W4" s="4">
        <f t="shared" si="10"/>
        <v>0</v>
      </c>
      <c r="X4" s="4">
        <f t="shared" si="11"/>
        <v>0</v>
      </c>
      <c r="Y4" s="4">
        <f t="shared" si="12"/>
        <v>0</v>
      </c>
    </row>
    <row r="5" spans="1:25" ht="27" hidden="1" customHeight="1" x14ac:dyDescent="0.15">
      <c r="A5" s="1">
        <v>3</v>
      </c>
      <c r="B5" s="1" t="s">
        <v>214</v>
      </c>
      <c r="C5" s="1">
        <v>3</v>
      </c>
      <c r="G5" s="96" t="str">
        <f t="shared" si="0"/>
        <v>X3</v>
      </c>
      <c r="H5" s="2" t="s">
        <v>2</v>
      </c>
      <c r="I5" s="6"/>
      <c r="K5" s="1" t="s">
        <v>102</v>
      </c>
      <c r="L5" s="1">
        <f t="shared" si="1"/>
        <v>20</v>
      </c>
      <c r="M5" s="1">
        <f t="shared" si="2"/>
        <v>54</v>
      </c>
      <c r="N5" s="1">
        <f t="shared" si="3"/>
        <v>96</v>
      </c>
      <c r="O5" s="97">
        <f t="shared" si="4"/>
        <v>0.92156862745098034</v>
      </c>
      <c r="P5" s="97">
        <f t="shared" si="4"/>
        <v>0.78823529411764703</v>
      </c>
      <c r="Q5" s="97">
        <f t="shared" si="4"/>
        <v>0.62352941176470589</v>
      </c>
      <c r="R5" s="4">
        <f t="shared" si="5"/>
        <v>0.79166666666666652</v>
      </c>
      <c r="S5" s="4">
        <f t="shared" si="6"/>
        <v>0.43749999999999994</v>
      </c>
      <c r="T5" s="4">
        <f t="shared" si="7"/>
        <v>0</v>
      </c>
      <c r="U5" s="4">
        <f t="shared" si="8"/>
        <v>0.62352941176470589</v>
      </c>
      <c r="V5" s="4">
        <f t="shared" si="9"/>
        <v>0</v>
      </c>
      <c r="W5" s="4">
        <f t="shared" si="10"/>
        <v>0</v>
      </c>
      <c r="X5" s="4">
        <f t="shared" si="11"/>
        <v>0</v>
      </c>
      <c r="Y5" s="4">
        <f t="shared" si="12"/>
        <v>0</v>
      </c>
    </row>
    <row r="6" spans="1:25" ht="27" hidden="1" customHeight="1" x14ac:dyDescent="0.15">
      <c r="A6" s="1">
        <v>4</v>
      </c>
      <c r="B6" s="1" t="s">
        <v>214</v>
      </c>
      <c r="C6" s="1">
        <v>4</v>
      </c>
      <c r="G6" s="96" t="str">
        <f t="shared" si="0"/>
        <v>X4</v>
      </c>
      <c r="H6" s="2" t="s">
        <v>3</v>
      </c>
      <c r="I6" s="7"/>
      <c r="K6" s="1" t="s">
        <v>103</v>
      </c>
      <c r="L6" s="1">
        <f t="shared" si="1"/>
        <v>0</v>
      </c>
      <c r="M6" s="1">
        <f t="shared" si="2"/>
        <v>78</v>
      </c>
      <c r="N6" s="1">
        <f t="shared" si="3"/>
        <v>162</v>
      </c>
      <c r="O6" s="97">
        <f t="shared" si="4"/>
        <v>1</v>
      </c>
      <c r="P6" s="97">
        <f t="shared" si="4"/>
        <v>0.69411764705882351</v>
      </c>
      <c r="Q6" s="97">
        <f t="shared" si="4"/>
        <v>0.36470588235294116</v>
      </c>
      <c r="R6" s="4">
        <f t="shared" si="5"/>
        <v>1</v>
      </c>
      <c r="S6" s="4">
        <f t="shared" si="6"/>
        <v>0.51851851851851849</v>
      </c>
      <c r="T6" s="4">
        <f t="shared" si="7"/>
        <v>0</v>
      </c>
      <c r="U6" s="4">
        <f t="shared" si="8"/>
        <v>0.36470588235294116</v>
      </c>
      <c r="V6" s="4">
        <f t="shared" si="9"/>
        <v>0</v>
      </c>
      <c r="W6" s="4">
        <f t="shared" si="10"/>
        <v>0</v>
      </c>
      <c r="X6" s="4">
        <f t="shared" si="11"/>
        <v>0</v>
      </c>
      <c r="Y6" s="4">
        <f t="shared" si="12"/>
        <v>0</v>
      </c>
    </row>
    <row r="7" spans="1:25" ht="27" hidden="1" customHeight="1" x14ac:dyDescent="0.15">
      <c r="A7" s="1">
        <v>5</v>
      </c>
      <c r="B7" s="1" t="s">
        <v>214</v>
      </c>
      <c r="C7" s="1">
        <v>5</v>
      </c>
      <c r="G7" s="96" t="str">
        <f t="shared" si="0"/>
        <v>X5</v>
      </c>
      <c r="H7" s="2" t="s">
        <v>4</v>
      </c>
      <c r="I7" s="8"/>
      <c r="K7" s="1" t="s">
        <v>104</v>
      </c>
      <c r="L7" s="1">
        <f t="shared" si="1"/>
        <v>0</v>
      </c>
      <c r="M7" s="1">
        <f t="shared" si="2"/>
        <v>107</v>
      </c>
      <c r="N7" s="1">
        <f t="shared" si="3"/>
        <v>69</v>
      </c>
      <c r="O7" s="97">
        <f t="shared" si="4"/>
        <v>1</v>
      </c>
      <c r="P7" s="97">
        <f t="shared" si="4"/>
        <v>0.58039215686274515</v>
      </c>
      <c r="Q7" s="97">
        <f t="shared" si="4"/>
        <v>0.72941176470588232</v>
      </c>
      <c r="R7" s="4">
        <f t="shared" si="5"/>
        <v>1</v>
      </c>
      <c r="S7" s="4">
        <f t="shared" si="6"/>
        <v>0</v>
      </c>
      <c r="T7" s="4">
        <f t="shared" si="7"/>
        <v>0.35514018691588767</v>
      </c>
      <c r="U7" s="4">
        <f t="shared" si="8"/>
        <v>0.58039215686274515</v>
      </c>
      <c r="V7" s="4">
        <f t="shared" si="9"/>
        <v>0</v>
      </c>
      <c r="W7" s="4">
        <f t="shared" si="10"/>
        <v>0</v>
      </c>
      <c r="X7" s="4">
        <f t="shared" si="11"/>
        <v>0</v>
      </c>
      <c r="Y7" s="4">
        <f t="shared" si="12"/>
        <v>0</v>
      </c>
    </row>
    <row r="8" spans="1:25" ht="27" hidden="1" customHeight="1" x14ac:dyDescent="0.15">
      <c r="A8" s="1">
        <v>6</v>
      </c>
      <c r="B8" s="1" t="s">
        <v>214</v>
      </c>
      <c r="C8" s="1">
        <v>6</v>
      </c>
      <c r="G8" s="96" t="str">
        <f t="shared" si="0"/>
        <v>X6</v>
      </c>
      <c r="H8" s="2" t="s">
        <v>5</v>
      </c>
      <c r="I8" s="9"/>
      <c r="K8" s="1" t="s">
        <v>105</v>
      </c>
      <c r="L8" s="1">
        <f t="shared" si="1"/>
        <v>237</v>
      </c>
      <c r="M8" s="1">
        <f t="shared" si="2"/>
        <v>109</v>
      </c>
      <c r="N8" s="1">
        <f t="shared" si="3"/>
        <v>1</v>
      </c>
      <c r="O8" s="97">
        <f t="shared" si="4"/>
        <v>7.0588235294117646E-2</v>
      </c>
      <c r="P8" s="97">
        <f t="shared" si="4"/>
        <v>0.5725490196078431</v>
      </c>
      <c r="Q8" s="97">
        <f t="shared" si="4"/>
        <v>0.99607843137254903</v>
      </c>
      <c r="R8" s="4">
        <f t="shared" si="5"/>
        <v>0</v>
      </c>
      <c r="S8" s="4">
        <f t="shared" si="6"/>
        <v>0.54008438818565396</v>
      </c>
      <c r="T8" s="4">
        <f t="shared" si="7"/>
        <v>0.99578059071729963</v>
      </c>
      <c r="U8" s="4">
        <f t="shared" si="8"/>
        <v>7.0588235294117646E-2</v>
      </c>
      <c r="V8" s="4">
        <f t="shared" si="9"/>
        <v>0</v>
      </c>
      <c r="W8" s="4">
        <f t="shared" si="10"/>
        <v>0</v>
      </c>
      <c r="X8" s="4">
        <f t="shared" si="11"/>
        <v>0</v>
      </c>
      <c r="Y8" s="4">
        <f t="shared" si="12"/>
        <v>0</v>
      </c>
    </row>
    <row r="9" spans="1:25" ht="27" hidden="1" customHeight="1" x14ac:dyDescent="0.15">
      <c r="A9" s="1">
        <v>7</v>
      </c>
      <c r="B9" s="1" t="s">
        <v>214</v>
      </c>
      <c r="C9" s="1">
        <v>7</v>
      </c>
      <c r="G9" s="96" t="str">
        <f t="shared" si="0"/>
        <v>X7</v>
      </c>
      <c r="H9" s="2" t="s">
        <v>98</v>
      </c>
      <c r="I9" s="10"/>
      <c r="K9" s="1" t="s">
        <v>106</v>
      </c>
      <c r="L9" s="1">
        <f t="shared" si="1"/>
        <v>230</v>
      </c>
      <c r="M9" s="1">
        <f t="shared" si="2"/>
        <v>0</v>
      </c>
      <c r="N9" s="1">
        <f t="shared" si="3"/>
        <v>19</v>
      </c>
      <c r="O9" s="97">
        <f t="shared" si="4"/>
        <v>9.8039215686274508E-2</v>
      </c>
      <c r="P9" s="97">
        <f t="shared" si="4"/>
        <v>1</v>
      </c>
      <c r="Q9" s="97">
        <f t="shared" si="4"/>
        <v>0.92549019607843142</v>
      </c>
      <c r="R9" s="4">
        <f t="shared" si="5"/>
        <v>0</v>
      </c>
      <c r="S9" s="4">
        <f t="shared" si="6"/>
        <v>1</v>
      </c>
      <c r="T9" s="4">
        <f t="shared" si="7"/>
        <v>0.91739130434782612</v>
      </c>
      <c r="U9" s="4">
        <f t="shared" si="8"/>
        <v>9.8039215686274508E-2</v>
      </c>
      <c r="V9" s="4">
        <f t="shared" si="9"/>
        <v>0</v>
      </c>
      <c r="W9" s="4">
        <f t="shared" si="10"/>
        <v>0</v>
      </c>
      <c r="X9" s="4">
        <f t="shared" si="11"/>
        <v>0</v>
      </c>
      <c r="Y9" s="4">
        <f t="shared" si="12"/>
        <v>0</v>
      </c>
    </row>
    <row r="10" spans="1:25" ht="27" hidden="1" customHeight="1" x14ac:dyDescent="0.15">
      <c r="A10" s="1">
        <v>8</v>
      </c>
      <c r="B10" s="1" t="s">
        <v>214</v>
      </c>
      <c r="C10" s="1">
        <v>8</v>
      </c>
      <c r="G10" s="96" t="str">
        <f t="shared" si="0"/>
        <v>X8</v>
      </c>
      <c r="H10" s="2" t="s">
        <v>6</v>
      </c>
      <c r="I10" s="11"/>
      <c r="K10" s="1" t="s">
        <v>107</v>
      </c>
      <c r="L10" s="1">
        <f t="shared" si="1"/>
        <v>255</v>
      </c>
      <c r="M10" s="1">
        <f t="shared" si="2"/>
        <v>222</v>
      </c>
      <c r="N10" s="1">
        <f t="shared" si="3"/>
        <v>0</v>
      </c>
      <c r="O10" s="97">
        <f t="shared" si="4"/>
        <v>0</v>
      </c>
      <c r="P10" s="97">
        <f t="shared" si="4"/>
        <v>0.12941176470588237</v>
      </c>
      <c r="Q10" s="97">
        <f t="shared" si="4"/>
        <v>1</v>
      </c>
      <c r="R10" s="4">
        <f t="shared" si="5"/>
        <v>0</v>
      </c>
      <c r="S10" s="4">
        <f t="shared" si="6"/>
        <v>0.12941176470588237</v>
      </c>
      <c r="T10" s="4">
        <f t="shared" si="7"/>
        <v>1</v>
      </c>
      <c r="U10" s="4">
        <f t="shared" si="8"/>
        <v>0</v>
      </c>
      <c r="V10" s="4">
        <f t="shared" si="9"/>
        <v>0</v>
      </c>
      <c r="W10" s="4">
        <f t="shared" si="10"/>
        <v>0</v>
      </c>
      <c r="X10" s="4">
        <f t="shared" si="11"/>
        <v>0</v>
      </c>
      <c r="Y10" s="4">
        <f t="shared" si="12"/>
        <v>0</v>
      </c>
    </row>
    <row r="11" spans="1:25" ht="27" hidden="1" customHeight="1" x14ac:dyDescent="0.15">
      <c r="A11" s="1">
        <v>9</v>
      </c>
      <c r="B11" s="1" t="s">
        <v>214</v>
      </c>
      <c r="C11" s="1">
        <v>9</v>
      </c>
      <c r="G11" s="96" t="str">
        <f t="shared" si="0"/>
        <v>X9</v>
      </c>
      <c r="H11" s="2" t="s">
        <v>7</v>
      </c>
      <c r="I11" s="12"/>
      <c r="K11" s="1" t="s">
        <v>108</v>
      </c>
      <c r="L11" s="1">
        <f t="shared" si="1"/>
        <v>116</v>
      </c>
      <c r="M11" s="1">
        <f t="shared" si="2"/>
        <v>55</v>
      </c>
      <c r="N11" s="1">
        <f t="shared" si="3"/>
        <v>47</v>
      </c>
      <c r="O11" s="97">
        <f t="shared" si="4"/>
        <v>0.54509803921568623</v>
      </c>
      <c r="P11" s="97">
        <f t="shared" si="4"/>
        <v>0.78431372549019607</v>
      </c>
      <c r="Q11" s="97">
        <f t="shared" si="4"/>
        <v>0.81568627450980391</v>
      </c>
      <c r="R11" s="4">
        <f t="shared" si="5"/>
        <v>0</v>
      </c>
      <c r="S11" s="4">
        <f t="shared" si="6"/>
        <v>0.52586206896551724</v>
      </c>
      <c r="T11" s="4">
        <f t="shared" si="7"/>
        <v>0.59482758620689657</v>
      </c>
      <c r="U11" s="4">
        <f t="shared" si="8"/>
        <v>0.54509803921568623</v>
      </c>
      <c r="V11" s="4">
        <f t="shared" si="9"/>
        <v>0</v>
      </c>
      <c r="W11" s="4">
        <f t="shared" si="10"/>
        <v>0</v>
      </c>
      <c r="X11" s="4">
        <f t="shared" si="11"/>
        <v>0</v>
      </c>
      <c r="Y11" s="4">
        <f t="shared" si="12"/>
        <v>0</v>
      </c>
    </row>
    <row r="12" spans="1:25" ht="27" hidden="1" customHeight="1" x14ac:dyDescent="0.15">
      <c r="A12" s="1">
        <v>10</v>
      </c>
      <c r="B12" s="1" t="s">
        <v>214</v>
      </c>
      <c r="C12" s="1">
        <v>10</v>
      </c>
      <c r="G12" s="96" t="str">
        <f t="shared" si="0"/>
        <v>X10</v>
      </c>
      <c r="H12" s="2" t="s">
        <v>8</v>
      </c>
      <c r="I12" s="13"/>
      <c r="K12" s="1" t="s">
        <v>197</v>
      </c>
      <c r="L12" s="1">
        <f t="shared" si="1"/>
        <v>89</v>
      </c>
      <c r="M12" s="1">
        <f t="shared" si="2"/>
        <v>87</v>
      </c>
      <c r="N12" s="1">
        <f t="shared" si="3"/>
        <v>87</v>
      </c>
      <c r="O12" s="97">
        <f t="shared" si="4"/>
        <v>0.65098039215686276</v>
      </c>
      <c r="P12" s="97">
        <f t="shared" si="4"/>
        <v>0.6588235294117647</v>
      </c>
      <c r="Q12" s="97">
        <f t="shared" si="4"/>
        <v>0.6588235294117647</v>
      </c>
      <c r="R12" s="4">
        <f t="shared" si="5"/>
        <v>0</v>
      </c>
      <c r="S12" s="4">
        <f t="shared" si="6"/>
        <v>2.2471910112359474E-2</v>
      </c>
      <c r="T12" s="4">
        <f t="shared" si="7"/>
        <v>2.2471910112359474E-2</v>
      </c>
      <c r="U12" s="4">
        <f t="shared" si="8"/>
        <v>0.65098039215686276</v>
      </c>
      <c r="V12" s="4">
        <f t="shared" si="9"/>
        <v>0</v>
      </c>
      <c r="W12" s="4">
        <f t="shared" si="10"/>
        <v>0</v>
      </c>
      <c r="X12" s="4">
        <f t="shared" si="11"/>
        <v>0</v>
      </c>
      <c r="Y12" s="4">
        <f t="shared" si="12"/>
        <v>0</v>
      </c>
    </row>
    <row r="13" spans="1:25" ht="25.5" hidden="1" customHeight="1" x14ac:dyDescent="0.15">
      <c r="A13" s="1">
        <v>11</v>
      </c>
      <c r="B13" s="1" t="s">
        <v>214</v>
      </c>
      <c r="C13" s="1">
        <v>11</v>
      </c>
      <c r="E13" s="1" t="s">
        <v>220</v>
      </c>
      <c r="G13" s="96" t="str">
        <f t="shared" si="0"/>
        <v>X11</v>
      </c>
      <c r="H13" s="2" t="s">
        <v>9</v>
      </c>
      <c r="I13" s="14"/>
      <c r="K13" s="1" t="s">
        <v>109</v>
      </c>
      <c r="L13" s="1">
        <f t="shared" si="1"/>
        <v>214</v>
      </c>
      <c r="M13" s="1">
        <f t="shared" si="2"/>
        <v>215</v>
      </c>
      <c r="N13" s="1">
        <f t="shared" si="3"/>
        <v>215</v>
      </c>
      <c r="O13" s="97">
        <f t="shared" si="4"/>
        <v>0.16078431372549021</v>
      </c>
      <c r="P13" s="97">
        <f t="shared" si="4"/>
        <v>0.15686274509803921</v>
      </c>
      <c r="Q13" s="97">
        <f t="shared" si="4"/>
        <v>0.15686274509803921</v>
      </c>
      <c r="R13" s="4">
        <f t="shared" si="5"/>
        <v>4.6511627906976908E-3</v>
      </c>
      <c r="S13" s="4">
        <f t="shared" si="6"/>
        <v>0</v>
      </c>
      <c r="T13" s="4">
        <f t="shared" si="7"/>
        <v>0</v>
      </c>
      <c r="U13" s="4">
        <f t="shared" si="8"/>
        <v>0.15686274509803921</v>
      </c>
      <c r="V13" s="4">
        <f t="shared" si="9"/>
        <v>0</v>
      </c>
      <c r="W13" s="4">
        <f t="shared" si="10"/>
        <v>0</v>
      </c>
      <c r="X13" s="4">
        <f t="shared" si="11"/>
        <v>0</v>
      </c>
      <c r="Y13" s="4">
        <f t="shared" si="12"/>
        <v>0</v>
      </c>
    </row>
    <row r="14" spans="1:25" ht="25.5" hidden="1" customHeight="1" x14ac:dyDescent="0.15">
      <c r="A14" s="1">
        <v>12</v>
      </c>
      <c r="B14" s="1" t="s">
        <v>214</v>
      </c>
      <c r="C14" s="1">
        <v>12</v>
      </c>
      <c r="E14" s="1" t="s">
        <v>216</v>
      </c>
      <c r="G14" s="96" t="str">
        <f t="shared" si="0"/>
        <v>X12</v>
      </c>
      <c r="H14" s="2" t="s">
        <v>10</v>
      </c>
      <c r="I14" s="15"/>
      <c r="K14" s="1" t="s">
        <v>110</v>
      </c>
      <c r="L14" s="1">
        <f t="shared" si="1"/>
        <v>205</v>
      </c>
      <c r="M14" s="1">
        <f t="shared" si="2"/>
        <v>167</v>
      </c>
      <c r="N14" s="1">
        <f t="shared" si="3"/>
        <v>1</v>
      </c>
      <c r="O14" s="97">
        <f t="shared" si="4"/>
        <v>0.19607843137254902</v>
      </c>
      <c r="P14" s="97">
        <f t="shared" si="4"/>
        <v>0.34509803921568627</v>
      </c>
      <c r="Q14" s="97">
        <f t="shared" si="4"/>
        <v>0.99607843137254903</v>
      </c>
      <c r="R14" s="4">
        <f t="shared" si="5"/>
        <v>0</v>
      </c>
      <c r="S14" s="4">
        <f t="shared" si="6"/>
        <v>0.18536585365853658</v>
      </c>
      <c r="T14" s="4">
        <f t="shared" si="7"/>
        <v>0.99512195121951219</v>
      </c>
      <c r="U14" s="4">
        <f t="shared" si="8"/>
        <v>0.19607843137254902</v>
      </c>
      <c r="V14" s="4">
        <f t="shared" si="9"/>
        <v>0</v>
      </c>
      <c r="W14" s="4">
        <f t="shared" si="10"/>
        <v>0</v>
      </c>
      <c r="X14" s="4">
        <f t="shared" si="11"/>
        <v>0</v>
      </c>
      <c r="Y14" s="4">
        <f t="shared" si="12"/>
        <v>0</v>
      </c>
    </row>
    <row r="15" spans="1:25" ht="27" hidden="1" customHeight="1" x14ac:dyDescent="0.15">
      <c r="A15" s="1">
        <v>13</v>
      </c>
      <c r="B15" s="1" t="s">
        <v>214</v>
      </c>
      <c r="C15" s="1">
        <v>13</v>
      </c>
      <c r="G15" s="96" t="str">
        <f t="shared" si="0"/>
        <v>X13</v>
      </c>
      <c r="H15" s="2" t="s">
        <v>11</v>
      </c>
      <c r="I15" s="16"/>
      <c r="K15" s="1" t="s">
        <v>111</v>
      </c>
      <c r="L15" s="1">
        <f t="shared" si="1"/>
        <v>0</v>
      </c>
      <c r="M15" s="1">
        <f t="shared" si="2"/>
        <v>97</v>
      </c>
      <c r="N15" s="1">
        <f t="shared" si="3"/>
        <v>137</v>
      </c>
      <c r="O15" s="97">
        <f t="shared" si="4"/>
        <v>1</v>
      </c>
      <c r="P15" s="97">
        <f t="shared" si="4"/>
        <v>0.61960784313725492</v>
      </c>
      <c r="Q15" s="97">
        <f t="shared" si="4"/>
        <v>0.46274509803921571</v>
      </c>
      <c r="R15" s="4">
        <f t="shared" si="5"/>
        <v>1</v>
      </c>
      <c r="S15" s="4">
        <f t="shared" si="6"/>
        <v>0.29197080291970806</v>
      </c>
      <c r="T15" s="4">
        <f t="shared" si="7"/>
        <v>0</v>
      </c>
      <c r="U15" s="4">
        <f t="shared" si="8"/>
        <v>0.46274509803921571</v>
      </c>
      <c r="V15" s="4">
        <f t="shared" si="9"/>
        <v>0</v>
      </c>
      <c r="W15" s="4">
        <f t="shared" si="10"/>
        <v>0</v>
      </c>
      <c r="X15" s="4">
        <f t="shared" si="11"/>
        <v>0</v>
      </c>
      <c r="Y15" s="4">
        <f t="shared" si="12"/>
        <v>0</v>
      </c>
    </row>
    <row r="16" spans="1:25" ht="27" hidden="1" customHeight="1" x14ac:dyDescent="0.15">
      <c r="A16" s="1">
        <v>14</v>
      </c>
      <c r="B16" s="1" t="s">
        <v>214</v>
      </c>
      <c r="C16" s="1">
        <v>14</v>
      </c>
      <c r="G16" s="96" t="str">
        <f t="shared" si="0"/>
        <v>X14</v>
      </c>
      <c r="H16" s="2" t="s">
        <v>12</v>
      </c>
      <c r="I16" s="17"/>
      <c r="K16" s="1" t="s">
        <v>112</v>
      </c>
      <c r="L16" s="1">
        <f t="shared" si="1"/>
        <v>0</v>
      </c>
      <c r="M16" s="1">
        <f t="shared" si="2"/>
        <v>166</v>
      </c>
      <c r="N16" s="1">
        <f t="shared" si="3"/>
        <v>234</v>
      </c>
      <c r="O16" s="97">
        <f t="shared" si="4"/>
        <v>1</v>
      </c>
      <c r="P16" s="97">
        <f t="shared" si="4"/>
        <v>0.34901960784313724</v>
      </c>
      <c r="Q16" s="97">
        <f t="shared" si="4"/>
        <v>8.2352941176470587E-2</v>
      </c>
      <c r="R16" s="4">
        <f t="shared" si="5"/>
        <v>1</v>
      </c>
      <c r="S16" s="4">
        <f t="shared" si="6"/>
        <v>0.29059829059829062</v>
      </c>
      <c r="T16" s="4">
        <f t="shared" si="7"/>
        <v>0</v>
      </c>
      <c r="U16" s="4">
        <f t="shared" si="8"/>
        <v>8.2352941176470587E-2</v>
      </c>
      <c r="V16" s="4">
        <f t="shared" si="9"/>
        <v>0</v>
      </c>
      <c r="W16" s="4">
        <f t="shared" si="10"/>
        <v>0</v>
      </c>
      <c r="X16" s="4">
        <f t="shared" si="11"/>
        <v>0</v>
      </c>
      <c r="Y16" s="4">
        <f t="shared" si="12"/>
        <v>0</v>
      </c>
    </row>
    <row r="17" spans="1:25" ht="27" hidden="1" customHeight="1" x14ac:dyDescent="0.15">
      <c r="A17" s="1">
        <v>15</v>
      </c>
      <c r="B17" s="1" t="s">
        <v>214</v>
      </c>
      <c r="C17" s="1">
        <v>15</v>
      </c>
      <c r="G17" s="96" t="str">
        <f t="shared" si="0"/>
        <v>X15</v>
      </c>
      <c r="H17" s="2" t="s">
        <v>13</v>
      </c>
      <c r="I17" s="18"/>
      <c r="K17" s="1" t="s">
        <v>113</v>
      </c>
      <c r="L17" s="1">
        <f t="shared" si="1"/>
        <v>114</v>
      </c>
      <c r="M17" s="1">
        <f t="shared" si="2"/>
        <v>187</v>
      </c>
      <c r="N17" s="1">
        <f t="shared" si="3"/>
        <v>42</v>
      </c>
      <c r="O17" s="97">
        <f t="shared" si="4"/>
        <v>0.55294117647058827</v>
      </c>
      <c r="P17" s="97">
        <f t="shared" si="4"/>
        <v>0.26666666666666666</v>
      </c>
      <c r="Q17" s="97">
        <f t="shared" si="4"/>
        <v>0.83529411764705885</v>
      </c>
      <c r="R17" s="4">
        <f t="shared" si="5"/>
        <v>0.39037433155080214</v>
      </c>
      <c r="S17" s="4">
        <f t="shared" si="6"/>
        <v>0</v>
      </c>
      <c r="T17" s="4">
        <f t="shared" si="7"/>
        <v>0.77540106951871646</v>
      </c>
      <c r="U17" s="4">
        <f t="shared" si="8"/>
        <v>0.26666666666666666</v>
      </c>
      <c r="V17" s="4">
        <f t="shared" si="9"/>
        <v>0</v>
      </c>
      <c r="W17" s="4">
        <f t="shared" si="10"/>
        <v>0</v>
      </c>
      <c r="X17" s="4">
        <f t="shared" si="11"/>
        <v>0</v>
      </c>
      <c r="Y17" s="4">
        <f t="shared" si="12"/>
        <v>0</v>
      </c>
    </row>
    <row r="18" spans="1:25" ht="27" hidden="1" customHeight="1" x14ac:dyDescent="0.15">
      <c r="A18" s="1">
        <v>16</v>
      </c>
      <c r="B18" s="1" t="s">
        <v>214</v>
      </c>
      <c r="C18" s="1">
        <v>16</v>
      </c>
      <c r="G18" s="96" t="str">
        <f t="shared" si="0"/>
        <v>X16</v>
      </c>
      <c r="H18" s="2" t="s">
        <v>14</v>
      </c>
      <c r="I18" s="19"/>
      <c r="K18" s="1" t="s">
        <v>114</v>
      </c>
      <c r="L18" s="1">
        <f t="shared" si="1"/>
        <v>87</v>
      </c>
      <c r="M18" s="1">
        <f t="shared" si="2"/>
        <v>74</v>
      </c>
      <c r="N18" s="1">
        <f t="shared" si="3"/>
        <v>143</v>
      </c>
      <c r="O18" s="97">
        <f t="shared" si="4"/>
        <v>0.6588235294117647</v>
      </c>
      <c r="P18" s="97">
        <f t="shared" si="4"/>
        <v>0.70980392156862748</v>
      </c>
      <c r="Q18" s="97">
        <f t="shared" si="4"/>
        <v>0.4392156862745098</v>
      </c>
      <c r="R18" s="4">
        <f t="shared" si="5"/>
        <v>0.39160839160839161</v>
      </c>
      <c r="S18" s="4">
        <f t="shared" si="6"/>
        <v>0.48251748251748255</v>
      </c>
      <c r="T18" s="4">
        <f t="shared" si="7"/>
        <v>0</v>
      </c>
      <c r="U18" s="4">
        <f t="shared" si="8"/>
        <v>0.4392156862745098</v>
      </c>
      <c r="V18" s="4">
        <f t="shared" si="9"/>
        <v>0</v>
      </c>
      <c r="W18" s="4">
        <f t="shared" si="10"/>
        <v>0</v>
      </c>
      <c r="X18" s="4">
        <f t="shared" si="11"/>
        <v>0</v>
      </c>
      <c r="Y18" s="4">
        <f t="shared" si="12"/>
        <v>0</v>
      </c>
    </row>
    <row r="19" spans="1:25" ht="27" hidden="1" customHeight="1" x14ac:dyDescent="0.15">
      <c r="A19" s="1">
        <v>17</v>
      </c>
      <c r="B19" s="1" t="s">
        <v>214</v>
      </c>
      <c r="C19" s="1">
        <v>17</v>
      </c>
      <c r="G19" s="96" t="str">
        <f t="shared" si="0"/>
        <v>X17</v>
      </c>
      <c r="H19" s="2" t="s">
        <v>15</v>
      </c>
      <c r="I19" s="20"/>
      <c r="K19" s="1" t="s">
        <v>115</v>
      </c>
      <c r="L19" s="1">
        <f t="shared" si="1"/>
        <v>237</v>
      </c>
      <c r="M19" s="1">
        <f t="shared" si="2"/>
        <v>132</v>
      </c>
      <c r="N19" s="1">
        <f t="shared" si="3"/>
        <v>178</v>
      </c>
      <c r="O19" s="97">
        <f t="shared" si="4"/>
        <v>7.0588235294117646E-2</v>
      </c>
      <c r="P19" s="97">
        <f t="shared" si="4"/>
        <v>0.4823529411764706</v>
      </c>
      <c r="Q19" s="97">
        <f t="shared" si="4"/>
        <v>0.30196078431372547</v>
      </c>
      <c r="R19" s="4">
        <f t="shared" si="5"/>
        <v>0</v>
      </c>
      <c r="S19" s="4">
        <f t="shared" si="6"/>
        <v>0.44303797468354428</v>
      </c>
      <c r="T19" s="4">
        <f t="shared" si="7"/>
        <v>0.24894514767932488</v>
      </c>
      <c r="U19" s="4">
        <f t="shared" si="8"/>
        <v>7.0588235294117646E-2</v>
      </c>
      <c r="V19" s="4">
        <f t="shared" si="9"/>
        <v>0</v>
      </c>
      <c r="W19" s="4">
        <f t="shared" si="10"/>
        <v>0</v>
      </c>
      <c r="X19" s="4">
        <f t="shared" si="11"/>
        <v>0</v>
      </c>
      <c r="Y19" s="4">
        <f t="shared" si="12"/>
        <v>0</v>
      </c>
    </row>
    <row r="20" spans="1:25" ht="27" hidden="1" customHeight="1" x14ac:dyDescent="0.15">
      <c r="A20" s="1">
        <v>18</v>
      </c>
      <c r="B20" s="1" t="s">
        <v>214</v>
      </c>
      <c r="C20" s="1">
        <v>18</v>
      </c>
      <c r="G20" s="96" t="str">
        <f t="shared" si="0"/>
        <v>X18</v>
      </c>
      <c r="H20" s="2" t="s">
        <v>16</v>
      </c>
      <c r="I20" s="3"/>
      <c r="K20" s="1" t="s">
        <v>100</v>
      </c>
      <c r="L20" s="1">
        <f t="shared" si="1"/>
        <v>35</v>
      </c>
      <c r="M20" s="1">
        <f t="shared" si="2"/>
        <v>25</v>
      </c>
      <c r="N20" s="1">
        <f t="shared" si="3"/>
        <v>22</v>
      </c>
      <c r="O20" s="97">
        <f t="shared" si="4"/>
        <v>0.86274509803921573</v>
      </c>
      <c r="P20" s="97">
        <f t="shared" si="4"/>
        <v>0.90196078431372551</v>
      </c>
      <c r="Q20" s="97">
        <f t="shared" si="4"/>
        <v>0.9137254901960784</v>
      </c>
      <c r="R20" s="4">
        <f t="shared" si="5"/>
        <v>0</v>
      </c>
      <c r="S20" s="4">
        <f t="shared" si="6"/>
        <v>0.28571428571428559</v>
      </c>
      <c r="T20" s="4">
        <f t="shared" si="7"/>
        <v>0.37142857142857105</v>
      </c>
      <c r="U20" s="4">
        <f t="shared" si="8"/>
        <v>0.86274509803921573</v>
      </c>
      <c r="V20" s="4">
        <f t="shared" si="9"/>
        <v>0</v>
      </c>
      <c r="W20" s="4">
        <f t="shared" si="10"/>
        <v>0</v>
      </c>
      <c r="X20" s="4">
        <f t="shared" si="11"/>
        <v>0</v>
      </c>
      <c r="Y20" s="4">
        <f t="shared" si="12"/>
        <v>0</v>
      </c>
    </row>
    <row r="21" spans="1:25" ht="25.5" hidden="1" customHeight="1" x14ac:dyDescent="0.15">
      <c r="A21" s="1">
        <v>19</v>
      </c>
      <c r="B21" s="1" t="s">
        <v>214</v>
      </c>
      <c r="C21" s="1">
        <v>19</v>
      </c>
      <c r="E21" s="1" t="s">
        <v>210</v>
      </c>
      <c r="G21" s="96" t="str">
        <f t="shared" si="0"/>
        <v>X19</v>
      </c>
      <c r="H21" s="2" t="s">
        <v>17</v>
      </c>
      <c r="I21" s="21"/>
      <c r="K21" s="1" t="s">
        <v>116</v>
      </c>
      <c r="L21" s="1">
        <f t="shared" si="1"/>
        <v>199</v>
      </c>
      <c r="M21" s="1">
        <f t="shared" si="2"/>
        <v>200</v>
      </c>
      <c r="N21" s="1">
        <f t="shared" si="3"/>
        <v>200</v>
      </c>
      <c r="O21" s="97">
        <f t="shared" si="4"/>
        <v>0.2196078431372549</v>
      </c>
      <c r="P21" s="97">
        <f t="shared" si="4"/>
        <v>0.21568627450980393</v>
      </c>
      <c r="Q21" s="97">
        <f t="shared" si="4"/>
        <v>0.21568627450980393</v>
      </c>
      <c r="R21" s="4">
        <f t="shared" si="5"/>
        <v>4.9999999999999819E-3</v>
      </c>
      <c r="S21" s="4">
        <f t="shared" si="6"/>
        <v>0</v>
      </c>
      <c r="T21" s="4">
        <f t="shared" si="7"/>
        <v>0</v>
      </c>
      <c r="U21" s="4">
        <f t="shared" si="8"/>
        <v>0.21568627450980393</v>
      </c>
      <c r="V21" s="4">
        <f t="shared" si="9"/>
        <v>0</v>
      </c>
      <c r="W21" s="4">
        <f t="shared" si="10"/>
        <v>0</v>
      </c>
      <c r="X21" s="4">
        <f t="shared" si="11"/>
        <v>0</v>
      </c>
      <c r="Y21" s="4">
        <f t="shared" si="12"/>
        <v>0</v>
      </c>
    </row>
    <row r="22" spans="1:25" ht="25.5" hidden="1" customHeight="1" x14ac:dyDescent="0.15">
      <c r="A22" s="1">
        <v>20</v>
      </c>
      <c r="B22" s="1" t="s">
        <v>214</v>
      </c>
      <c r="C22" s="1">
        <v>20</v>
      </c>
      <c r="E22" s="1" t="s">
        <v>213</v>
      </c>
      <c r="G22" s="96" t="str">
        <f t="shared" si="0"/>
        <v>X20</v>
      </c>
      <c r="H22" s="2" t="s">
        <v>19</v>
      </c>
      <c r="I22" s="5"/>
      <c r="K22" s="1" t="s">
        <v>101</v>
      </c>
      <c r="L22" s="1">
        <f t="shared" si="1"/>
        <v>255</v>
      </c>
      <c r="M22" s="1">
        <f t="shared" si="2"/>
        <v>255</v>
      </c>
      <c r="N22" s="1">
        <f t="shared" si="3"/>
        <v>255</v>
      </c>
      <c r="O22" s="97">
        <f t="shared" si="4"/>
        <v>0</v>
      </c>
      <c r="P22" s="97">
        <f t="shared" si="4"/>
        <v>0</v>
      </c>
      <c r="Q22" s="97">
        <f t="shared" si="4"/>
        <v>0</v>
      </c>
      <c r="R22" s="4">
        <f t="shared" si="5"/>
        <v>0</v>
      </c>
      <c r="S22" s="4">
        <f t="shared" si="6"/>
        <v>0</v>
      </c>
      <c r="T22" s="4">
        <f t="shared" si="7"/>
        <v>0</v>
      </c>
      <c r="U22" s="4">
        <f t="shared" si="8"/>
        <v>0</v>
      </c>
      <c r="V22" s="4">
        <f t="shared" si="9"/>
        <v>0</v>
      </c>
      <c r="W22" s="4">
        <f t="shared" si="10"/>
        <v>0</v>
      </c>
      <c r="X22" s="4">
        <f t="shared" si="11"/>
        <v>0</v>
      </c>
      <c r="Y22" s="4">
        <f t="shared" si="12"/>
        <v>0</v>
      </c>
    </row>
    <row r="23" spans="1:25" ht="25.5" hidden="1" customHeight="1" x14ac:dyDescent="0.15">
      <c r="A23" s="1">
        <v>21</v>
      </c>
      <c r="B23" s="1" t="s">
        <v>214</v>
      </c>
      <c r="C23" s="1">
        <v>20</v>
      </c>
      <c r="D23" s="2" t="s">
        <v>99</v>
      </c>
      <c r="E23" s="1" t="s">
        <v>213</v>
      </c>
      <c r="G23" s="96" t="str">
        <f t="shared" si="0"/>
        <v>X20A</v>
      </c>
      <c r="H23" s="2" t="s">
        <v>18</v>
      </c>
      <c r="I23" s="5"/>
      <c r="K23" s="1" t="s">
        <v>101</v>
      </c>
      <c r="L23" s="1">
        <f t="shared" si="1"/>
        <v>255</v>
      </c>
      <c r="M23" s="1">
        <f t="shared" si="2"/>
        <v>255</v>
      </c>
      <c r="N23" s="1">
        <f t="shared" si="3"/>
        <v>255</v>
      </c>
      <c r="O23" s="97">
        <f t="shared" si="4"/>
        <v>0</v>
      </c>
      <c r="P23" s="97">
        <f t="shared" si="4"/>
        <v>0</v>
      </c>
      <c r="Q23" s="97">
        <f t="shared" si="4"/>
        <v>0</v>
      </c>
      <c r="R23" s="4">
        <f t="shared" si="5"/>
        <v>0</v>
      </c>
      <c r="S23" s="4">
        <f t="shared" si="6"/>
        <v>0</v>
      </c>
      <c r="T23" s="4">
        <f t="shared" si="7"/>
        <v>0</v>
      </c>
      <c r="U23" s="4">
        <f t="shared" si="8"/>
        <v>0</v>
      </c>
      <c r="V23" s="4">
        <f t="shared" si="9"/>
        <v>0</v>
      </c>
      <c r="W23" s="4">
        <f t="shared" si="10"/>
        <v>0</v>
      </c>
      <c r="X23" s="4">
        <f t="shared" si="11"/>
        <v>0</v>
      </c>
      <c r="Y23" s="4">
        <f t="shared" si="12"/>
        <v>0</v>
      </c>
    </row>
    <row r="24" spans="1:25" ht="25.5" hidden="1" customHeight="1" x14ac:dyDescent="0.15">
      <c r="A24" s="1">
        <v>22</v>
      </c>
      <c r="B24" s="1" t="s">
        <v>214</v>
      </c>
      <c r="C24" s="1">
        <v>21</v>
      </c>
      <c r="E24" s="1" t="s">
        <v>211</v>
      </c>
      <c r="G24" s="96" t="str">
        <f t="shared" si="0"/>
        <v>X21</v>
      </c>
      <c r="H24" s="2" t="s">
        <v>20</v>
      </c>
      <c r="I24" s="5"/>
      <c r="K24" s="1" t="s">
        <v>101</v>
      </c>
      <c r="L24" s="1">
        <f t="shared" si="1"/>
        <v>255</v>
      </c>
      <c r="M24" s="1">
        <f t="shared" si="2"/>
        <v>255</v>
      </c>
      <c r="N24" s="1">
        <f t="shared" si="3"/>
        <v>255</v>
      </c>
      <c r="O24" s="97">
        <f t="shared" si="4"/>
        <v>0</v>
      </c>
      <c r="P24" s="97">
        <f t="shared" si="4"/>
        <v>0</v>
      </c>
      <c r="Q24" s="97">
        <f t="shared" si="4"/>
        <v>0</v>
      </c>
      <c r="R24" s="4">
        <f t="shared" si="5"/>
        <v>0</v>
      </c>
      <c r="S24" s="4">
        <f t="shared" si="6"/>
        <v>0</v>
      </c>
      <c r="T24" s="4">
        <f t="shared" si="7"/>
        <v>0</v>
      </c>
      <c r="U24" s="4">
        <f t="shared" si="8"/>
        <v>0</v>
      </c>
      <c r="V24" s="4">
        <f t="shared" si="9"/>
        <v>0</v>
      </c>
      <c r="W24" s="4">
        <f t="shared" si="10"/>
        <v>0</v>
      </c>
      <c r="X24" s="4">
        <f t="shared" si="11"/>
        <v>0</v>
      </c>
      <c r="Y24" s="4">
        <f t="shared" si="12"/>
        <v>0</v>
      </c>
    </row>
    <row r="25" spans="1:25" ht="25.5" hidden="1" customHeight="1" x14ac:dyDescent="0.15">
      <c r="A25" s="1">
        <v>23</v>
      </c>
      <c r="B25" s="1" t="s">
        <v>214</v>
      </c>
      <c r="C25" s="1">
        <v>22</v>
      </c>
      <c r="E25" s="1" t="s">
        <v>211</v>
      </c>
      <c r="G25" s="96" t="str">
        <f t="shared" si="0"/>
        <v>X22</v>
      </c>
      <c r="H25" s="2" t="s">
        <v>21</v>
      </c>
      <c r="I25" s="5"/>
      <c r="K25" s="1" t="s">
        <v>101</v>
      </c>
      <c r="L25" s="1">
        <f t="shared" si="1"/>
        <v>255</v>
      </c>
      <c r="M25" s="1">
        <f t="shared" si="2"/>
        <v>255</v>
      </c>
      <c r="N25" s="1">
        <f t="shared" si="3"/>
        <v>255</v>
      </c>
      <c r="O25" s="97">
        <f t="shared" si="4"/>
        <v>0</v>
      </c>
      <c r="P25" s="97">
        <f t="shared" si="4"/>
        <v>0</v>
      </c>
      <c r="Q25" s="97">
        <f t="shared" si="4"/>
        <v>0</v>
      </c>
      <c r="R25" s="4">
        <f t="shared" si="5"/>
        <v>0</v>
      </c>
      <c r="S25" s="4">
        <f t="shared" si="6"/>
        <v>0</v>
      </c>
      <c r="T25" s="4">
        <f t="shared" si="7"/>
        <v>0</v>
      </c>
      <c r="U25" s="4">
        <f t="shared" si="8"/>
        <v>0</v>
      </c>
      <c r="V25" s="4">
        <f t="shared" si="9"/>
        <v>0</v>
      </c>
      <c r="W25" s="4">
        <f t="shared" si="10"/>
        <v>0</v>
      </c>
      <c r="X25" s="4">
        <f t="shared" si="11"/>
        <v>0</v>
      </c>
      <c r="Y25" s="4">
        <f t="shared" si="12"/>
        <v>0</v>
      </c>
    </row>
    <row r="26" spans="1:25" ht="25.5" hidden="1" customHeight="1" x14ac:dyDescent="0.15">
      <c r="A26" s="1">
        <v>24</v>
      </c>
      <c r="B26" s="1" t="s">
        <v>214</v>
      </c>
      <c r="C26" s="1">
        <v>23</v>
      </c>
      <c r="E26" s="1" t="s">
        <v>211</v>
      </c>
      <c r="G26" s="96" t="str">
        <f t="shared" si="0"/>
        <v>X23</v>
      </c>
      <c r="H26" s="2" t="s">
        <v>22</v>
      </c>
      <c r="I26" s="17"/>
      <c r="K26" s="1" t="s">
        <v>112</v>
      </c>
      <c r="L26" s="1">
        <f t="shared" si="1"/>
        <v>0</v>
      </c>
      <c r="M26" s="1">
        <f t="shared" si="2"/>
        <v>166</v>
      </c>
      <c r="N26" s="1">
        <f t="shared" si="3"/>
        <v>234</v>
      </c>
      <c r="O26" s="97">
        <f t="shared" si="4"/>
        <v>1</v>
      </c>
      <c r="P26" s="97">
        <f t="shared" si="4"/>
        <v>0.34901960784313724</v>
      </c>
      <c r="Q26" s="97">
        <f t="shared" si="4"/>
        <v>8.2352941176470587E-2</v>
      </c>
      <c r="R26" s="4">
        <f t="shared" si="5"/>
        <v>1</v>
      </c>
      <c r="S26" s="4">
        <f t="shared" si="6"/>
        <v>0.29059829059829062</v>
      </c>
      <c r="T26" s="4">
        <f t="shared" si="7"/>
        <v>0</v>
      </c>
      <c r="U26" s="4">
        <f t="shared" si="8"/>
        <v>8.2352941176470587E-2</v>
      </c>
      <c r="V26" s="4">
        <f t="shared" si="9"/>
        <v>0</v>
      </c>
      <c r="W26" s="4">
        <f t="shared" si="10"/>
        <v>0</v>
      </c>
      <c r="X26" s="4">
        <f t="shared" si="11"/>
        <v>0</v>
      </c>
      <c r="Y26" s="4">
        <f t="shared" si="12"/>
        <v>0</v>
      </c>
    </row>
    <row r="27" spans="1:25" ht="25.5" hidden="1" customHeight="1" x14ac:dyDescent="0.15">
      <c r="A27" s="1">
        <v>25</v>
      </c>
      <c r="B27" s="1" t="s">
        <v>214</v>
      </c>
      <c r="C27" s="1">
        <v>24</v>
      </c>
      <c r="E27" s="1" t="s">
        <v>211</v>
      </c>
      <c r="G27" s="96" t="str">
        <f t="shared" si="0"/>
        <v>X24</v>
      </c>
      <c r="H27" s="2" t="s">
        <v>23</v>
      </c>
      <c r="I27" s="22"/>
      <c r="K27" s="1" t="s">
        <v>117</v>
      </c>
      <c r="L27" s="1">
        <f t="shared" si="1"/>
        <v>255</v>
      </c>
      <c r="M27" s="1">
        <f t="shared" si="2"/>
        <v>228</v>
      </c>
      <c r="N27" s="1">
        <f t="shared" si="3"/>
        <v>0</v>
      </c>
      <c r="O27" s="97">
        <f t="shared" si="4"/>
        <v>0</v>
      </c>
      <c r="P27" s="97">
        <f t="shared" si="4"/>
        <v>0.10588235294117647</v>
      </c>
      <c r="Q27" s="97">
        <f t="shared" si="4"/>
        <v>1</v>
      </c>
      <c r="R27" s="4">
        <f t="shared" si="5"/>
        <v>0</v>
      </c>
      <c r="S27" s="4">
        <f t="shared" si="6"/>
        <v>0.10588235294117647</v>
      </c>
      <c r="T27" s="4">
        <f t="shared" si="7"/>
        <v>1</v>
      </c>
      <c r="U27" s="4">
        <f t="shared" si="8"/>
        <v>0</v>
      </c>
      <c r="V27" s="4">
        <f t="shared" si="9"/>
        <v>0</v>
      </c>
      <c r="W27" s="4">
        <f t="shared" si="10"/>
        <v>0</v>
      </c>
      <c r="X27" s="4">
        <f t="shared" si="11"/>
        <v>0</v>
      </c>
      <c r="Y27" s="4">
        <f t="shared" si="12"/>
        <v>0</v>
      </c>
    </row>
    <row r="28" spans="1:25" ht="25.5" hidden="1" customHeight="1" x14ac:dyDescent="0.15">
      <c r="A28" s="1">
        <v>26</v>
      </c>
      <c r="B28" s="1" t="s">
        <v>214</v>
      </c>
      <c r="C28" s="1">
        <v>25</v>
      </c>
      <c r="E28" s="1" t="s">
        <v>211</v>
      </c>
      <c r="G28" s="96" t="str">
        <f t="shared" si="0"/>
        <v>X25</v>
      </c>
      <c r="H28" s="2" t="s">
        <v>28</v>
      </c>
      <c r="I28" s="23"/>
      <c r="K28" s="1" t="s">
        <v>118</v>
      </c>
      <c r="L28" s="1">
        <f t="shared" si="1"/>
        <v>0</v>
      </c>
      <c r="M28" s="1">
        <f t="shared" si="2"/>
        <v>158</v>
      </c>
      <c r="N28" s="1">
        <f t="shared" si="3"/>
        <v>65</v>
      </c>
      <c r="O28" s="97">
        <f t="shared" si="4"/>
        <v>1</v>
      </c>
      <c r="P28" s="97">
        <f t="shared" si="4"/>
        <v>0.38039215686274508</v>
      </c>
      <c r="Q28" s="97">
        <f t="shared" si="4"/>
        <v>0.74509803921568629</v>
      </c>
      <c r="R28" s="4">
        <f t="shared" si="5"/>
        <v>1</v>
      </c>
      <c r="S28" s="4">
        <f t="shared" si="6"/>
        <v>0</v>
      </c>
      <c r="T28" s="4">
        <f t="shared" si="7"/>
        <v>0.58860759493670889</v>
      </c>
      <c r="U28" s="4">
        <f t="shared" si="8"/>
        <v>0.38039215686274508</v>
      </c>
      <c r="V28" s="4">
        <f t="shared" si="9"/>
        <v>0</v>
      </c>
      <c r="W28" s="4">
        <f t="shared" si="10"/>
        <v>0</v>
      </c>
      <c r="X28" s="4">
        <f t="shared" si="11"/>
        <v>0</v>
      </c>
      <c r="Y28" s="4">
        <f t="shared" si="12"/>
        <v>0</v>
      </c>
    </row>
    <row r="29" spans="1:25" ht="25.5" hidden="1" customHeight="1" x14ac:dyDescent="0.15">
      <c r="A29" s="1">
        <v>27</v>
      </c>
      <c r="B29" s="1" t="s">
        <v>214</v>
      </c>
      <c r="C29" s="1">
        <v>26</v>
      </c>
      <c r="E29" s="1" t="s">
        <v>211</v>
      </c>
      <c r="G29" s="96" t="str">
        <f t="shared" si="0"/>
        <v>X26</v>
      </c>
      <c r="H29" s="2" t="s">
        <v>24</v>
      </c>
      <c r="I29" s="24"/>
      <c r="K29" s="1" t="s">
        <v>119</v>
      </c>
      <c r="L29" s="1">
        <f t="shared" si="1"/>
        <v>239</v>
      </c>
      <c r="M29" s="1">
        <f t="shared" si="2"/>
        <v>126</v>
      </c>
      <c r="N29" s="1">
        <f t="shared" si="3"/>
        <v>0</v>
      </c>
      <c r="O29" s="97">
        <f t="shared" si="4"/>
        <v>6.2745098039215685E-2</v>
      </c>
      <c r="P29" s="97">
        <f t="shared" si="4"/>
        <v>0.50588235294117645</v>
      </c>
      <c r="Q29" s="97">
        <f t="shared" si="4"/>
        <v>1</v>
      </c>
      <c r="R29" s="4">
        <f t="shared" si="5"/>
        <v>0</v>
      </c>
      <c r="S29" s="4">
        <f t="shared" si="6"/>
        <v>0.47280334728033468</v>
      </c>
      <c r="T29" s="4">
        <f t="shared" si="7"/>
        <v>1</v>
      </c>
      <c r="U29" s="4">
        <f t="shared" si="8"/>
        <v>6.2745098039215685E-2</v>
      </c>
      <c r="V29" s="4">
        <f t="shared" si="9"/>
        <v>0</v>
      </c>
      <c r="W29" s="4">
        <f t="shared" si="10"/>
        <v>0</v>
      </c>
      <c r="X29" s="4">
        <f t="shared" si="11"/>
        <v>0</v>
      </c>
      <c r="Y29" s="4">
        <f t="shared" si="12"/>
        <v>0</v>
      </c>
    </row>
    <row r="30" spans="1:25" ht="25.5" hidden="1" customHeight="1" x14ac:dyDescent="0.15">
      <c r="A30" s="1">
        <v>28</v>
      </c>
      <c r="B30" s="1" t="s">
        <v>214</v>
      </c>
      <c r="C30" s="1">
        <v>27</v>
      </c>
      <c r="E30" s="1" t="s">
        <v>211</v>
      </c>
      <c r="G30" s="96" t="str">
        <f t="shared" si="0"/>
        <v>X27</v>
      </c>
      <c r="H30" s="2" t="s">
        <v>25</v>
      </c>
      <c r="I30" s="25"/>
      <c r="K30" s="1" t="s">
        <v>120</v>
      </c>
      <c r="L30" s="1">
        <f t="shared" si="1"/>
        <v>230</v>
      </c>
      <c r="M30" s="1">
        <f t="shared" si="2"/>
        <v>0</v>
      </c>
      <c r="N30" s="1">
        <f t="shared" si="3"/>
        <v>57</v>
      </c>
      <c r="O30" s="97">
        <f t="shared" si="4"/>
        <v>9.8039215686274508E-2</v>
      </c>
      <c r="P30" s="97">
        <f t="shared" si="4"/>
        <v>1</v>
      </c>
      <c r="Q30" s="97">
        <f t="shared" si="4"/>
        <v>0.77647058823529413</v>
      </c>
      <c r="R30" s="4">
        <f t="shared" si="5"/>
        <v>0</v>
      </c>
      <c r="S30" s="4">
        <f t="shared" si="6"/>
        <v>1</v>
      </c>
      <c r="T30" s="4">
        <f t="shared" si="7"/>
        <v>0.75217391304347825</v>
      </c>
      <c r="U30" s="4">
        <f t="shared" si="8"/>
        <v>9.8039215686274508E-2</v>
      </c>
      <c r="V30" s="4">
        <f t="shared" si="9"/>
        <v>0</v>
      </c>
      <c r="W30" s="4">
        <f t="shared" si="10"/>
        <v>0</v>
      </c>
      <c r="X30" s="4">
        <f t="shared" si="11"/>
        <v>0</v>
      </c>
      <c r="Y30" s="4">
        <f t="shared" si="12"/>
        <v>0</v>
      </c>
    </row>
    <row r="31" spans="1:25" ht="27" hidden="1" customHeight="1" x14ac:dyDescent="0.15">
      <c r="A31" s="1">
        <v>29</v>
      </c>
      <c r="B31" s="1" t="s">
        <v>214</v>
      </c>
      <c r="C31" s="1">
        <v>28</v>
      </c>
      <c r="G31" s="96" t="str">
        <f t="shared" si="0"/>
        <v>X28</v>
      </c>
      <c r="H31" s="2" t="s">
        <v>26</v>
      </c>
      <c r="I31" s="26"/>
      <c r="K31" s="1" t="s">
        <v>121</v>
      </c>
      <c r="L31" s="1">
        <f t="shared" si="1"/>
        <v>0</v>
      </c>
      <c r="M31" s="1">
        <f t="shared" si="2"/>
        <v>153</v>
      </c>
      <c r="N31" s="1">
        <f t="shared" si="3"/>
        <v>68</v>
      </c>
      <c r="O31" s="97">
        <f t="shared" si="4"/>
        <v>1</v>
      </c>
      <c r="P31" s="97">
        <f t="shared" si="4"/>
        <v>0.4</v>
      </c>
      <c r="Q31" s="97">
        <f t="shared" si="4"/>
        <v>0.73333333333333328</v>
      </c>
      <c r="R31" s="4">
        <f t="shared" si="5"/>
        <v>1</v>
      </c>
      <c r="S31" s="4">
        <f t="shared" si="6"/>
        <v>0</v>
      </c>
      <c r="T31" s="4">
        <f t="shared" si="7"/>
        <v>0.55555555555555547</v>
      </c>
      <c r="U31" s="4">
        <f t="shared" si="8"/>
        <v>0.4</v>
      </c>
      <c r="V31" s="4">
        <f t="shared" si="9"/>
        <v>0</v>
      </c>
      <c r="W31" s="4">
        <f t="shared" si="10"/>
        <v>0</v>
      </c>
      <c r="X31" s="4">
        <f t="shared" si="11"/>
        <v>0</v>
      </c>
      <c r="Y31" s="4">
        <f t="shared" si="12"/>
        <v>0</v>
      </c>
    </row>
    <row r="32" spans="1:25" ht="25.5" hidden="1" customHeight="1" x14ac:dyDescent="0.15">
      <c r="A32" s="1">
        <v>30</v>
      </c>
      <c r="B32" s="1" t="s">
        <v>214</v>
      </c>
      <c r="C32" s="1">
        <v>31</v>
      </c>
      <c r="E32" s="1" t="s">
        <v>216</v>
      </c>
      <c r="G32" s="96" t="str">
        <f t="shared" si="0"/>
        <v>X31</v>
      </c>
      <c r="H32" s="2" t="s">
        <v>27</v>
      </c>
      <c r="I32" s="27"/>
      <c r="K32" s="1" t="s">
        <v>122</v>
      </c>
      <c r="L32" s="1">
        <f t="shared" si="1"/>
        <v>221</v>
      </c>
      <c r="M32" s="1">
        <f t="shared" si="2"/>
        <v>203</v>
      </c>
      <c r="N32" s="1">
        <f t="shared" si="3"/>
        <v>165</v>
      </c>
      <c r="O32" s="97">
        <f t="shared" si="4"/>
        <v>0.13333333333333333</v>
      </c>
      <c r="P32" s="97">
        <f t="shared" si="4"/>
        <v>0.20392156862745098</v>
      </c>
      <c r="Q32" s="97">
        <f t="shared" si="4"/>
        <v>0.35294117647058826</v>
      </c>
      <c r="R32" s="4">
        <f t="shared" si="5"/>
        <v>0</v>
      </c>
      <c r="S32" s="4">
        <f t="shared" si="6"/>
        <v>8.1447963800904979E-2</v>
      </c>
      <c r="T32" s="4">
        <f t="shared" si="7"/>
        <v>0.25339366515837108</v>
      </c>
      <c r="U32" s="4">
        <f t="shared" si="8"/>
        <v>0.13333333333333333</v>
      </c>
      <c r="V32" s="4">
        <f t="shared" si="9"/>
        <v>0</v>
      </c>
      <c r="W32" s="4">
        <f t="shared" si="10"/>
        <v>0</v>
      </c>
      <c r="X32" s="4">
        <f t="shared" si="11"/>
        <v>0</v>
      </c>
      <c r="Y32" s="4">
        <f t="shared" si="12"/>
        <v>0</v>
      </c>
    </row>
    <row r="33" spans="1:25" ht="25.5" hidden="1" customHeight="1" x14ac:dyDescent="0.15">
      <c r="A33" s="1">
        <v>31</v>
      </c>
      <c r="B33" s="1" t="s">
        <v>214</v>
      </c>
      <c r="C33" s="1">
        <v>32</v>
      </c>
      <c r="E33" s="1" t="s">
        <v>216</v>
      </c>
      <c r="G33" s="96" t="str">
        <f t="shared" si="0"/>
        <v>X32</v>
      </c>
      <c r="H33" s="2" t="s">
        <v>29</v>
      </c>
      <c r="I33" s="28"/>
      <c r="K33" s="1" t="s">
        <v>123</v>
      </c>
      <c r="L33" s="1">
        <f t="shared" si="1"/>
        <v>223</v>
      </c>
      <c r="M33" s="1">
        <f t="shared" si="2"/>
        <v>222</v>
      </c>
      <c r="N33" s="1">
        <f t="shared" si="3"/>
        <v>207</v>
      </c>
      <c r="O33" s="97">
        <f t="shared" si="4"/>
        <v>0.12549019607843137</v>
      </c>
      <c r="P33" s="97">
        <f t="shared" si="4"/>
        <v>0.12941176470588237</v>
      </c>
      <c r="Q33" s="97">
        <f t="shared" si="4"/>
        <v>0.18823529411764706</v>
      </c>
      <c r="R33" s="4">
        <f t="shared" si="5"/>
        <v>0</v>
      </c>
      <c r="S33" s="4">
        <f t="shared" si="6"/>
        <v>4.4843049327354416E-3</v>
      </c>
      <c r="T33" s="4">
        <f t="shared" si="7"/>
        <v>7.1748878923766815E-2</v>
      </c>
      <c r="U33" s="4">
        <f t="shared" si="8"/>
        <v>0.12549019607843137</v>
      </c>
      <c r="V33" s="4">
        <f t="shared" si="9"/>
        <v>0</v>
      </c>
      <c r="W33" s="4">
        <f t="shared" si="10"/>
        <v>0</v>
      </c>
      <c r="X33" s="4">
        <f t="shared" si="11"/>
        <v>0</v>
      </c>
      <c r="Y33" s="4">
        <f t="shared" si="12"/>
        <v>0</v>
      </c>
    </row>
    <row r="34" spans="1:25" ht="27" hidden="1" customHeight="1" x14ac:dyDescent="0.15">
      <c r="A34" s="1">
        <v>32</v>
      </c>
      <c r="B34" s="1" t="s">
        <v>214</v>
      </c>
      <c r="C34" s="1">
        <v>33</v>
      </c>
      <c r="G34" s="96" t="str">
        <f t="shared" si="0"/>
        <v>X33</v>
      </c>
      <c r="H34" s="2" t="s">
        <v>30</v>
      </c>
      <c r="I34" s="29"/>
      <c r="K34" s="1" t="s">
        <v>124</v>
      </c>
      <c r="L34" s="1">
        <f t="shared" si="1"/>
        <v>135</v>
      </c>
      <c r="M34" s="1">
        <f t="shared" si="2"/>
        <v>117</v>
      </c>
      <c r="N34" s="1">
        <f t="shared" si="3"/>
        <v>116</v>
      </c>
      <c r="O34" s="97">
        <f t="shared" si="4"/>
        <v>0.47058823529411764</v>
      </c>
      <c r="P34" s="97">
        <f t="shared" si="4"/>
        <v>0.54117647058823526</v>
      </c>
      <c r="Q34" s="97">
        <f t="shared" si="4"/>
        <v>0.54509803921568623</v>
      </c>
      <c r="R34" s="4">
        <f t="shared" si="5"/>
        <v>0</v>
      </c>
      <c r="S34" s="4">
        <f t="shared" si="6"/>
        <v>0.13333333333333328</v>
      </c>
      <c r="T34" s="4">
        <f t="shared" si="7"/>
        <v>0.14074074074074067</v>
      </c>
      <c r="U34" s="4">
        <f t="shared" si="8"/>
        <v>0.47058823529411764</v>
      </c>
      <c r="V34" s="4">
        <f t="shared" si="9"/>
        <v>0</v>
      </c>
      <c r="W34" s="4">
        <f t="shared" si="10"/>
        <v>0</v>
      </c>
      <c r="X34" s="4">
        <f t="shared" si="11"/>
        <v>0</v>
      </c>
      <c r="Y34" s="4">
        <f t="shared" si="12"/>
        <v>0</v>
      </c>
    </row>
    <row r="35" spans="1:25" ht="27" hidden="1" customHeight="1" x14ac:dyDescent="0.15">
      <c r="A35" s="1">
        <v>33</v>
      </c>
      <c r="B35" s="1" t="s">
        <v>214</v>
      </c>
      <c r="C35" s="1">
        <v>34</v>
      </c>
      <c r="G35" s="96" t="str">
        <f t="shared" si="0"/>
        <v>X34</v>
      </c>
      <c r="H35" s="2" t="s">
        <v>31</v>
      </c>
      <c r="I35" s="30"/>
      <c r="K35" s="1" t="s">
        <v>125</v>
      </c>
      <c r="L35" s="1">
        <f t="shared" si="1"/>
        <v>192</v>
      </c>
      <c r="M35" s="1">
        <f t="shared" si="2"/>
        <v>86</v>
      </c>
      <c r="N35" s="1">
        <f t="shared" si="3"/>
        <v>9</v>
      </c>
      <c r="O35" s="97">
        <f t="shared" ref="O35:Q66" si="13">(255-L35)/255</f>
        <v>0.24705882352941178</v>
      </c>
      <c r="P35" s="97">
        <f t="shared" si="13"/>
        <v>0.66274509803921566</v>
      </c>
      <c r="Q35" s="97">
        <f t="shared" si="13"/>
        <v>0.96470588235294119</v>
      </c>
      <c r="R35" s="4">
        <f t="shared" si="5"/>
        <v>0</v>
      </c>
      <c r="S35" s="4">
        <f t="shared" si="6"/>
        <v>0.55208333333333326</v>
      </c>
      <c r="T35" s="4">
        <f t="shared" si="7"/>
        <v>0.953125</v>
      </c>
      <c r="U35" s="4">
        <f t="shared" si="8"/>
        <v>0.24705882352941178</v>
      </c>
      <c r="V35" s="4">
        <f t="shared" si="9"/>
        <v>0</v>
      </c>
      <c r="W35" s="4">
        <f t="shared" si="10"/>
        <v>0</v>
      </c>
      <c r="X35" s="4">
        <f t="shared" si="11"/>
        <v>0</v>
      </c>
      <c r="Y35" s="4">
        <f t="shared" si="12"/>
        <v>0</v>
      </c>
    </row>
    <row r="36" spans="1:25" ht="25.5" hidden="1" customHeight="1" x14ac:dyDescent="0.15">
      <c r="A36" s="1">
        <v>34</v>
      </c>
      <c r="B36" s="1" t="s">
        <v>214</v>
      </c>
      <c r="C36" s="1">
        <v>35</v>
      </c>
      <c r="E36" s="1" t="s">
        <v>211</v>
      </c>
      <c r="G36" s="96" t="str">
        <f t="shared" si="0"/>
        <v>X35</v>
      </c>
      <c r="H36" s="2" t="s">
        <v>208</v>
      </c>
      <c r="I36" s="5"/>
      <c r="K36" s="1" t="s">
        <v>101</v>
      </c>
      <c r="L36" s="1">
        <f t="shared" si="1"/>
        <v>255</v>
      </c>
      <c r="M36" s="1">
        <f t="shared" si="2"/>
        <v>255</v>
      </c>
      <c r="N36" s="1">
        <f t="shared" si="3"/>
        <v>255</v>
      </c>
      <c r="O36" s="97">
        <f t="shared" si="13"/>
        <v>0</v>
      </c>
      <c r="P36" s="97">
        <f t="shared" si="13"/>
        <v>0</v>
      </c>
      <c r="Q36" s="97">
        <f t="shared" si="13"/>
        <v>0</v>
      </c>
      <c r="R36" s="4">
        <f t="shared" si="5"/>
        <v>0</v>
      </c>
      <c r="S36" s="4">
        <f t="shared" si="6"/>
        <v>0</v>
      </c>
      <c r="T36" s="4">
        <f t="shared" si="7"/>
        <v>0</v>
      </c>
      <c r="U36" s="4">
        <f t="shared" si="8"/>
        <v>0</v>
      </c>
      <c r="V36" s="4">
        <f t="shared" si="9"/>
        <v>0</v>
      </c>
      <c r="W36" s="4">
        <f t="shared" si="10"/>
        <v>0</v>
      </c>
      <c r="X36" s="4">
        <f t="shared" si="11"/>
        <v>0</v>
      </c>
      <c r="Y36" s="4">
        <f t="shared" si="12"/>
        <v>0</v>
      </c>
    </row>
    <row r="37" spans="1:25" ht="27" hidden="1" customHeight="1" x14ac:dyDescent="0.15">
      <c r="A37" s="1">
        <v>35</v>
      </c>
      <c r="B37" s="1" t="s">
        <v>215</v>
      </c>
      <c r="C37" s="1">
        <v>1</v>
      </c>
      <c r="G37" s="96" t="str">
        <f t="shared" si="0"/>
        <v>XF1</v>
      </c>
      <c r="H37" s="2" t="s">
        <v>32</v>
      </c>
      <c r="I37" s="3"/>
      <c r="K37" s="1" t="s">
        <v>100</v>
      </c>
      <c r="L37" s="1">
        <f t="shared" si="1"/>
        <v>35</v>
      </c>
      <c r="M37" s="1">
        <f t="shared" si="2"/>
        <v>25</v>
      </c>
      <c r="N37" s="1">
        <f t="shared" si="3"/>
        <v>22</v>
      </c>
      <c r="O37" s="97">
        <f t="shared" si="13"/>
        <v>0.86274509803921573</v>
      </c>
      <c r="P37" s="97">
        <f t="shared" si="13"/>
        <v>0.90196078431372551</v>
      </c>
      <c r="Q37" s="97">
        <f t="shared" si="13"/>
        <v>0.9137254901960784</v>
      </c>
      <c r="R37" s="4">
        <f t="shared" si="5"/>
        <v>0</v>
      </c>
      <c r="S37" s="4">
        <f t="shared" si="6"/>
        <v>0.28571428571428559</v>
      </c>
      <c r="T37" s="4">
        <f t="shared" si="7"/>
        <v>0.37142857142857105</v>
      </c>
      <c r="U37" s="4">
        <f t="shared" si="8"/>
        <v>0.86274509803921573</v>
      </c>
      <c r="V37" s="4">
        <f t="shared" si="9"/>
        <v>0</v>
      </c>
      <c r="W37" s="4">
        <f t="shared" si="10"/>
        <v>0</v>
      </c>
      <c r="X37" s="4">
        <f t="shared" si="11"/>
        <v>0</v>
      </c>
      <c r="Y37" s="4">
        <f t="shared" si="12"/>
        <v>0</v>
      </c>
    </row>
    <row r="38" spans="1:25" ht="27" hidden="1" customHeight="1" x14ac:dyDescent="0.15">
      <c r="A38" s="1">
        <v>36</v>
      </c>
      <c r="B38" s="1" t="s">
        <v>215</v>
      </c>
      <c r="C38" s="1">
        <v>2</v>
      </c>
      <c r="G38" s="96" t="str">
        <f t="shared" si="0"/>
        <v>XF2</v>
      </c>
      <c r="H38" s="2" t="s">
        <v>33</v>
      </c>
      <c r="I38" s="5"/>
      <c r="K38" s="1" t="s">
        <v>101</v>
      </c>
      <c r="L38" s="1">
        <f t="shared" si="1"/>
        <v>255</v>
      </c>
      <c r="M38" s="1">
        <f t="shared" si="2"/>
        <v>255</v>
      </c>
      <c r="N38" s="1">
        <f t="shared" si="3"/>
        <v>255</v>
      </c>
      <c r="O38" s="97">
        <f t="shared" si="13"/>
        <v>0</v>
      </c>
      <c r="P38" s="97">
        <f t="shared" si="13"/>
        <v>0</v>
      </c>
      <c r="Q38" s="97">
        <f t="shared" si="13"/>
        <v>0</v>
      </c>
      <c r="R38" s="4">
        <f t="shared" si="5"/>
        <v>0</v>
      </c>
      <c r="S38" s="4">
        <f t="shared" si="6"/>
        <v>0</v>
      </c>
      <c r="T38" s="4">
        <f t="shared" si="7"/>
        <v>0</v>
      </c>
      <c r="U38" s="4">
        <f t="shared" si="8"/>
        <v>0</v>
      </c>
      <c r="V38" s="4">
        <f t="shared" si="9"/>
        <v>0</v>
      </c>
      <c r="W38" s="4">
        <f t="shared" si="10"/>
        <v>0</v>
      </c>
      <c r="X38" s="4">
        <f t="shared" si="11"/>
        <v>0</v>
      </c>
      <c r="Y38" s="4">
        <f t="shared" si="12"/>
        <v>0</v>
      </c>
    </row>
    <row r="39" spans="1:25" ht="27" hidden="1" customHeight="1" x14ac:dyDescent="0.15">
      <c r="A39" s="1">
        <v>37</v>
      </c>
      <c r="B39" s="1" t="s">
        <v>215</v>
      </c>
      <c r="C39" s="1">
        <v>3</v>
      </c>
      <c r="G39" s="96" t="str">
        <f t="shared" si="0"/>
        <v>XF3</v>
      </c>
      <c r="H39" s="2" t="s">
        <v>34</v>
      </c>
      <c r="I39" s="31"/>
      <c r="K39" s="1" t="s">
        <v>126</v>
      </c>
      <c r="L39" s="1">
        <f t="shared" si="1"/>
        <v>255</v>
      </c>
      <c r="M39" s="1">
        <f t="shared" si="2"/>
        <v>225</v>
      </c>
      <c r="N39" s="1">
        <f t="shared" si="3"/>
        <v>0</v>
      </c>
      <c r="O39" s="97">
        <f t="shared" si="13"/>
        <v>0</v>
      </c>
      <c r="P39" s="97">
        <f t="shared" si="13"/>
        <v>0.11764705882352941</v>
      </c>
      <c r="Q39" s="97">
        <f t="shared" si="13"/>
        <v>1</v>
      </c>
      <c r="R39" s="4">
        <f t="shared" si="5"/>
        <v>0</v>
      </c>
      <c r="S39" s="4">
        <f t="shared" si="6"/>
        <v>0.11764705882352941</v>
      </c>
      <c r="T39" s="4">
        <f t="shared" si="7"/>
        <v>1</v>
      </c>
      <c r="U39" s="4">
        <f t="shared" si="8"/>
        <v>0</v>
      </c>
      <c r="V39" s="4">
        <f t="shared" si="9"/>
        <v>0</v>
      </c>
      <c r="W39" s="4">
        <f t="shared" si="10"/>
        <v>0</v>
      </c>
      <c r="X39" s="4">
        <f t="shared" si="11"/>
        <v>0</v>
      </c>
      <c r="Y39" s="4">
        <f t="shared" si="12"/>
        <v>0</v>
      </c>
    </row>
    <row r="40" spans="1:25" ht="27" hidden="1" customHeight="1" x14ac:dyDescent="0.15">
      <c r="A40" s="1">
        <v>38</v>
      </c>
      <c r="B40" s="1" t="s">
        <v>215</v>
      </c>
      <c r="C40" s="1">
        <v>4</v>
      </c>
      <c r="G40" s="96" t="str">
        <f t="shared" si="0"/>
        <v>XF4</v>
      </c>
      <c r="H40" s="2" t="s">
        <v>35</v>
      </c>
      <c r="I40" s="32"/>
      <c r="K40" s="1" t="s">
        <v>127</v>
      </c>
      <c r="L40" s="1">
        <f t="shared" si="1"/>
        <v>185</v>
      </c>
      <c r="M40" s="1">
        <f t="shared" si="2"/>
        <v>195</v>
      </c>
      <c r="N40" s="1">
        <f t="shared" si="3"/>
        <v>36</v>
      </c>
      <c r="O40" s="97">
        <f t="shared" si="13"/>
        <v>0.27450980392156865</v>
      </c>
      <c r="P40" s="97">
        <f t="shared" si="13"/>
        <v>0.23529411764705882</v>
      </c>
      <c r="Q40" s="97">
        <f t="shared" si="13"/>
        <v>0.85882352941176465</v>
      </c>
      <c r="R40" s="4">
        <f t="shared" si="5"/>
        <v>5.1282051282051322E-2</v>
      </c>
      <c r="S40" s="4">
        <f t="shared" si="6"/>
        <v>0</v>
      </c>
      <c r="T40" s="4">
        <f t="shared" si="7"/>
        <v>0.81538461538461549</v>
      </c>
      <c r="U40" s="4">
        <f t="shared" si="8"/>
        <v>0.23529411764705882</v>
      </c>
      <c r="V40" s="4">
        <f t="shared" si="9"/>
        <v>0</v>
      </c>
      <c r="W40" s="4">
        <f t="shared" si="10"/>
        <v>0</v>
      </c>
      <c r="X40" s="4">
        <f t="shared" si="11"/>
        <v>0</v>
      </c>
      <c r="Y40" s="4">
        <f t="shared" si="12"/>
        <v>0</v>
      </c>
    </row>
    <row r="41" spans="1:25" ht="27" hidden="1" customHeight="1" x14ac:dyDescent="0.15">
      <c r="A41" s="1">
        <v>39</v>
      </c>
      <c r="B41" s="1" t="s">
        <v>215</v>
      </c>
      <c r="C41" s="1">
        <v>5</v>
      </c>
      <c r="G41" s="96" t="str">
        <f t="shared" si="0"/>
        <v>XF5</v>
      </c>
      <c r="H41" s="2" t="s">
        <v>36</v>
      </c>
      <c r="I41" s="33"/>
      <c r="K41" s="1" t="s">
        <v>128</v>
      </c>
      <c r="L41" s="1">
        <f t="shared" si="1"/>
        <v>91</v>
      </c>
      <c r="M41" s="1">
        <f t="shared" si="2"/>
        <v>132</v>
      </c>
      <c r="N41" s="1">
        <f t="shared" si="3"/>
        <v>97</v>
      </c>
      <c r="O41" s="97">
        <f t="shared" si="13"/>
        <v>0.64313725490196083</v>
      </c>
      <c r="P41" s="97">
        <f t="shared" si="13"/>
        <v>0.4823529411764706</v>
      </c>
      <c r="Q41" s="97">
        <f t="shared" si="13"/>
        <v>0.61960784313725492</v>
      </c>
      <c r="R41" s="4">
        <f t="shared" si="5"/>
        <v>0.31060606060606072</v>
      </c>
      <c r="S41" s="4">
        <f t="shared" si="6"/>
        <v>0</v>
      </c>
      <c r="T41" s="4">
        <f t="shared" si="7"/>
        <v>0.26515151515151519</v>
      </c>
      <c r="U41" s="4">
        <f t="shared" si="8"/>
        <v>0.4823529411764706</v>
      </c>
      <c r="V41" s="4">
        <f t="shared" si="9"/>
        <v>0</v>
      </c>
      <c r="W41" s="4">
        <f t="shared" si="10"/>
        <v>0</v>
      </c>
      <c r="X41" s="4">
        <f t="shared" si="11"/>
        <v>0</v>
      </c>
      <c r="Y41" s="4">
        <f t="shared" si="12"/>
        <v>0</v>
      </c>
    </row>
    <row r="42" spans="1:25" ht="25.5" hidden="1" customHeight="1" x14ac:dyDescent="0.15">
      <c r="A42" s="1">
        <v>40</v>
      </c>
      <c r="B42" s="1" t="s">
        <v>215</v>
      </c>
      <c r="C42" s="1">
        <v>6</v>
      </c>
      <c r="E42" s="1" t="s">
        <v>216</v>
      </c>
      <c r="G42" s="96" t="str">
        <f t="shared" si="0"/>
        <v>XF6</v>
      </c>
      <c r="H42" s="2" t="s">
        <v>37</v>
      </c>
      <c r="I42" s="34"/>
      <c r="K42" s="1" t="s">
        <v>129</v>
      </c>
      <c r="L42" s="1">
        <f t="shared" si="1"/>
        <v>197</v>
      </c>
      <c r="M42" s="1">
        <f t="shared" si="2"/>
        <v>77</v>
      </c>
      <c r="N42" s="1">
        <f t="shared" si="3"/>
        <v>39</v>
      </c>
      <c r="O42" s="97">
        <f t="shared" si="13"/>
        <v>0.22745098039215686</v>
      </c>
      <c r="P42" s="97">
        <f t="shared" si="13"/>
        <v>0.69803921568627447</v>
      </c>
      <c r="Q42" s="97">
        <f t="shared" si="13"/>
        <v>0.84705882352941175</v>
      </c>
      <c r="R42" s="4">
        <f t="shared" si="5"/>
        <v>0</v>
      </c>
      <c r="S42" s="4">
        <f t="shared" si="6"/>
        <v>0.60913705583756339</v>
      </c>
      <c r="T42" s="4">
        <f t="shared" si="7"/>
        <v>0.80203045685279184</v>
      </c>
      <c r="U42" s="4">
        <f t="shared" si="8"/>
        <v>0.22745098039215686</v>
      </c>
      <c r="V42" s="4">
        <f t="shared" si="9"/>
        <v>0</v>
      </c>
      <c r="W42" s="4">
        <f t="shared" si="10"/>
        <v>0</v>
      </c>
      <c r="X42" s="4">
        <f t="shared" si="11"/>
        <v>0</v>
      </c>
      <c r="Y42" s="4">
        <f t="shared" si="12"/>
        <v>0</v>
      </c>
    </row>
    <row r="43" spans="1:25" ht="27" hidden="1" customHeight="1" x14ac:dyDescent="0.15">
      <c r="A43" s="1">
        <v>41</v>
      </c>
      <c r="B43" s="1" t="s">
        <v>215</v>
      </c>
      <c r="C43" s="1">
        <v>7</v>
      </c>
      <c r="G43" s="96" t="str">
        <f t="shared" si="0"/>
        <v>XF7</v>
      </c>
      <c r="H43" s="2" t="s">
        <v>38</v>
      </c>
      <c r="I43" s="35"/>
      <c r="K43" s="1" t="s">
        <v>130</v>
      </c>
      <c r="L43" s="1">
        <f t="shared" si="1"/>
        <v>230</v>
      </c>
      <c r="M43" s="1">
        <f t="shared" si="2"/>
        <v>0</v>
      </c>
      <c r="N43" s="1">
        <f t="shared" si="3"/>
        <v>29</v>
      </c>
      <c r="O43" s="97">
        <f t="shared" si="13"/>
        <v>9.8039215686274508E-2</v>
      </c>
      <c r="P43" s="97">
        <f t="shared" si="13"/>
        <v>1</v>
      </c>
      <c r="Q43" s="97">
        <f t="shared" si="13"/>
        <v>0.88627450980392153</v>
      </c>
      <c r="R43" s="4">
        <f t="shared" si="5"/>
        <v>0</v>
      </c>
      <c r="S43" s="4">
        <f t="shared" si="6"/>
        <v>1</v>
      </c>
      <c r="T43" s="4">
        <f t="shared" si="7"/>
        <v>0.87391304347826082</v>
      </c>
      <c r="U43" s="4">
        <f t="shared" si="8"/>
        <v>9.8039215686274508E-2</v>
      </c>
      <c r="V43" s="4">
        <f t="shared" si="9"/>
        <v>0</v>
      </c>
      <c r="W43" s="4">
        <f t="shared" si="10"/>
        <v>0</v>
      </c>
      <c r="X43" s="4">
        <f t="shared" si="11"/>
        <v>0</v>
      </c>
      <c r="Y43" s="4">
        <f t="shared" si="12"/>
        <v>0</v>
      </c>
    </row>
    <row r="44" spans="1:25" ht="27" hidden="1" customHeight="1" x14ac:dyDescent="0.15">
      <c r="A44" s="1">
        <v>42</v>
      </c>
      <c r="B44" s="1" t="s">
        <v>215</v>
      </c>
      <c r="C44" s="1">
        <v>8</v>
      </c>
      <c r="G44" s="96" t="str">
        <f t="shared" si="0"/>
        <v>XF8</v>
      </c>
      <c r="H44" s="2" t="s">
        <v>39</v>
      </c>
      <c r="I44" s="36"/>
      <c r="K44" s="1" t="s">
        <v>131</v>
      </c>
      <c r="L44" s="1">
        <f t="shared" si="1"/>
        <v>0</v>
      </c>
      <c r="M44" s="1">
        <f t="shared" si="2"/>
        <v>105</v>
      </c>
      <c r="N44" s="1">
        <f t="shared" si="3"/>
        <v>149</v>
      </c>
      <c r="O44" s="97">
        <f t="shared" si="13"/>
        <v>1</v>
      </c>
      <c r="P44" s="97">
        <f t="shared" si="13"/>
        <v>0.58823529411764708</v>
      </c>
      <c r="Q44" s="97">
        <f t="shared" si="13"/>
        <v>0.41568627450980394</v>
      </c>
      <c r="R44" s="4">
        <f t="shared" si="5"/>
        <v>1</v>
      </c>
      <c r="S44" s="4">
        <f t="shared" si="6"/>
        <v>0.29530201342281881</v>
      </c>
      <c r="T44" s="4">
        <f t="shared" si="7"/>
        <v>0</v>
      </c>
      <c r="U44" s="4">
        <f t="shared" si="8"/>
        <v>0.41568627450980394</v>
      </c>
      <c r="V44" s="4">
        <f t="shared" si="9"/>
        <v>0</v>
      </c>
      <c r="W44" s="4">
        <f t="shared" si="10"/>
        <v>0</v>
      </c>
      <c r="X44" s="4">
        <f t="shared" si="11"/>
        <v>0</v>
      </c>
      <c r="Y44" s="4">
        <f t="shared" si="12"/>
        <v>0</v>
      </c>
    </row>
    <row r="45" spans="1:25" ht="27" hidden="1" customHeight="1" x14ac:dyDescent="0.15">
      <c r="A45" s="1">
        <v>43</v>
      </c>
      <c r="B45" s="1" t="s">
        <v>215</v>
      </c>
      <c r="C45" s="1">
        <v>9</v>
      </c>
      <c r="G45" s="96" t="str">
        <f t="shared" si="0"/>
        <v>XF9</v>
      </c>
      <c r="H45" s="2" t="s">
        <v>40</v>
      </c>
      <c r="I45" s="37"/>
      <c r="K45" s="1" t="s">
        <v>132</v>
      </c>
      <c r="L45" s="1">
        <f t="shared" si="1"/>
        <v>97</v>
      </c>
      <c r="M45" s="1">
        <f t="shared" si="2"/>
        <v>45</v>
      </c>
      <c r="N45" s="1">
        <f t="shared" si="3"/>
        <v>49</v>
      </c>
      <c r="O45" s="97">
        <f t="shared" si="13"/>
        <v>0.61960784313725492</v>
      </c>
      <c r="P45" s="97">
        <f t="shared" si="13"/>
        <v>0.82352941176470584</v>
      </c>
      <c r="Q45" s="97">
        <f t="shared" si="13"/>
        <v>0.80784313725490198</v>
      </c>
      <c r="R45" s="4">
        <f t="shared" si="5"/>
        <v>0</v>
      </c>
      <c r="S45" s="4">
        <f t="shared" si="6"/>
        <v>0.536082474226804</v>
      </c>
      <c r="T45" s="4">
        <f t="shared" si="7"/>
        <v>0.49484536082474229</v>
      </c>
      <c r="U45" s="4">
        <f t="shared" si="8"/>
        <v>0.61960784313725492</v>
      </c>
      <c r="V45" s="4">
        <f t="shared" si="9"/>
        <v>0</v>
      </c>
      <c r="W45" s="4">
        <f t="shared" si="10"/>
        <v>0</v>
      </c>
      <c r="X45" s="4">
        <f t="shared" si="11"/>
        <v>0</v>
      </c>
      <c r="Y45" s="4">
        <f t="shared" si="12"/>
        <v>0</v>
      </c>
    </row>
    <row r="46" spans="1:25" ht="27" hidden="1" customHeight="1" x14ac:dyDescent="0.15">
      <c r="A46" s="1">
        <v>44</v>
      </c>
      <c r="B46" s="1" t="s">
        <v>215</v>
      </c>
      <c r="C46" s="1">
        <v>10</v>
      </c>
      <c r="G46" s="96" t="str">
        <f t="shared" si="0"/>
        <v>XF10</v>
      </c>
      <c r="H46" s="2" t="s">
        <v>41</v>
      </c>
      <c r="I46" s="38"/>
      <c r="K46" s="1" t="s">
        <v>133</v>
      </c>
      <c r="L46" s="1">
        <f t="shared" si="1"/>
        <v>79</v>
      </c>
      <c r="M46" s="1">
        <f t="shared" si="2"/>
        <v>57</v>
      </c>
      <c r="N46" s="1">
        <f t="shared" si="3"/>
        <v>51</v>
      </c>
      <c r="O46" s="97">
        <f t="shared" si="13"/>
        <v>0.69019607843137254</v>
      </c>
      <c r="P46" s="97">
        <f t="shared" si="13"/>
        <v>0.77647058823529413</v>
      </c>
      <c r="Q46" s="97">
        <f t="shared" si="13"/>
        <v>0.8</v>
      </c>
      <c r="R46" s="4">
        <f t="shared" si="5"/>
        <v>0</v>
      </c>
      <c r="S46" s="4">
        <f t="shared" si="6"/>
        <v>0.27848101265822794</v>
      </c>
      <c r="T46" s="4">
        <f t="shared" si="7"/>
        <v>0.35443037974683561</v>
      </c>
      <c r="U46" s="4">
        <f t="shared" si="8"/>
        <v>0.69019607843137254</v>
      </c>
      <c r="V46" s="4">
        <f t="shared" si="9"/>
        <v>0</v>
      </c>
      <c r="W46" s="4">
        <f t="shared" si="10"/>
        <v>0</v>
      </c>
      <c r="X46" s="4">
        <f t="shared" si="11"/>
        <v>0</v>
      </c>
      <c r="Y46" s="4">
        <f t="shared" si="12"/>
        <v>0</v>
      </c>
    </row>
    <row r="47" spans="1:25" ht="27" hidden="1" customHeight="1" x14ac:dyDescent="0.15">
      <c r="A47" s="1">
        <v>45</v>
      </c>
      <c r="B47" s="1" t="s">
        <v>215</v>
      </c>
      <c r="C47" s="1">
        <v>11</v>
      </c>
      <c r="G47" s="96" t="str">
        <f t="shared" si="0"/>
        <v>XF11</v>
      </c>
      <c r="H47" s="2" t="s">
        <v>42</v>
      </c>
      <c r="I47" s="39"/>
      <c r="K47" s="1" t="s">
        <v>134</v>
      </c>
      <c r="L47" s="1">
        <f t="shared" si="1"/>
        <v>0</v>
      </c>
      <c r="M47" s="1">
        <f t="shared" si="2"/>
        <v>71</v>
      </c>
      <c r="N47" s="1">
        <f t="shared" si="3"/>
        <v>58</v>
      </c>
      <c r="O47" s="97">
        <f t="shared" si="13"/>
        <v>1</v>
      </c>
      <c r="P47" s="97">
        <f t="shared" si="13"/>
        <v>0.72156862745098038</v>
      </c>
      <c r="Q47" s="97">
        <f t="shared" si="13"/>
        <v>0.77254901960784317</v>
      </c>
      <c r="R47" s="4">
        <f t="shared" si="5"/>
        <v>1</v>
      </c>
      <c r="S47" s="4">
        <f t="shared" si="6"/>
        <v>0</v>
      </c>
      <c r="T47" s="4">
        <f t="shared" si="7"/>
        <v>0.18309859154929592</v>
      </c>
      <c r="U47" s="4">
        <f t="shared" si="8"/>
        <v>0.72156862745098038</v>
      </c>
      <c r="V47" s="4">
        <f t="shared" si="9"/>
        <v>0</v>
      </c>
      <c r="W47" s="4">
        <f t="shared" si="10"/>
        <v>0</v>
      </c>
      <c r="X47" s="4">
        <f t="shared" si="11"/>
        <v>0</v>
      </c>
      <c r="Y47" s="4">
        <f t="shared" si="12"/>
        <v>0</v>
      </c>
    </row>
    <row r="48" spans="1:25" ht="27" hidden="1" customHeight="1" x14ac:dyDescent="0.15">
      <c r="A48" s="1">
        <v>46</v>
      </c>
      <c r="B48" s="1" t="s">
        <v>215</v>
      </c>
      <c r="C48" s="1">
        <v>12</v>
      </c>
      <c r="G48" s="96" t="str">
        <f t="shared" si="0"/>
        <v>XF12</v>
      </c>
      <c r="H48" s="2" t="s">
        <v>43</v>
      </c>
      <c r="I48" s="40"/>
      <c r="K48" s="1" t="s">
        <v>135</v>
      </c>
      <c r="L48" s="1">
        <f t="shared" si="1"/>
        <v>201</v>
      </c>
      <c r="M48" s="1">
        <f t="shared" si="2"/>
        <v>210</v>
      </c>
      <c r="N48" s="1">
        <f t="shared" si="3"/>
        <v>194</v>
      </c>
      <c r="O48" s="97">
        <f t="shared" si="13"/>
        <v>0.21176470588235294</v>
      </c>
      <c r="P48" s="97">
        <f t="shared" si="13"/>
        <v>0.17647058823529413</v>
      </c>
      <c r="Q48" s="97">
        <f t="shared" si="13"/>
        <v>0.23921568627450981</v>
      </c>
      <c r="R48" s="4">
        <f t="shared" si="5"/>
        <v>4.2857142857142844E-2</v>
      </c>
      <c r="S48" s="4">
        <f t="shared" si="6"/>
        <v>0</v>
      </c>
      <c r="T48" s="4">
        <f t="shared" si="7"/>
        <v>7.6190476190476197E-2</v>
      </c>
      <c r="U48" s="4">
        <f t="shared" si="8"/>
        <v>0.17647058823529413</v>
      </c>
      <c r="V48" s="4">
        <f t="shared" si="9"/>
        <v>0</v>
      </c>
      <c r="W48" s="4">
        <f t="shared" si="10"/>
        <v>0</v>
      </c>
      <c r="X48" s="4">
        <f t="shared" si="11"/>
        <v>0</v>
      </c>
      <c r="Y48" s="4">
        <f t="shared" si="12"/>
        <v>0</v>
      </c>
    </row>
    <row r="49" spans="1:25" ht="27" hidden="1" customHeight="1" x14ac:dyDescent="0.15">
      <c r="A49" s="1">
        <v>47</v>
      </c>
      <c r="B49" s="1" t="s">
        <v>215</v>
      </c>
      <c r="C49" s="1">
        <v>13</v>
      </c>
      <c r="G49" s="96" t="str">
        <f t="shared" si="0"/>
        <v>XF13</v>
      </c>
      <c r="H49" s="2" t="s">
        <v>44</v>
      </c>
      <c r="I49" s="41"/>
      <c r="K49" s="1" t="s">
        <v>136</v>
      </c>
      <c r="L49" s="1">
        <f t="shared" si="1"/>
        <v>7</v>
      </c>
      <c r="M49" s="1">
        <f t="shared" si="2"/>
        <v>69</v>
      </c>
      <c r="N49" s="1">
        <f t="shared" si="3"/>
        <v>66</v>
      </c>
      <c r="O49" s="97">
        <f t="shared" si="13"/>
        <v>0.97254901960784312</v>
      </c>
      <c r="P49" s="97">
        <f t="shared" si="13"/>
        <v>0.72941176470588232</v>
      </c>
      <c r="Q49" s="97">
        <f t="shared" si="13"/>
        <v>0.74117647058823533</v>
      </c>
      <c r="R49" s="4">
        <f t="shared" si="5"/>
        <v>0.89855072463768115</v>
      </c>
      <c r="S49" s="4">
        <f t="shared" si="6"/>
        <v>0</v>
      </c>
      <c r="T49" s="4">
        <f t="shared" si="7"/>
        <v>4.3478260869565466E-2</v>
      </c>
      <c r="U49" s="4">
        <f t="shared" si="8"/>
        <v>0.72941176470588232</v>
      </c>
      <c r="V49" s="4">
        <f t="shared" si="9"/>
        <v>0</v>
      </c>
      <c r="W49" s="4">
        <f t="shared" si="10"/>
        <v>0</v>
      </c>
      <c r="X49" s="4">
        <f t="shared" si="11"/>
        <v>0</v>
      </c>
      <c r="Y49" s="4">
        <f t="shared" si="12"/>
        <v>0</v>
      </c>
    </row>
    <row r="50" spans="1:25" ht="27" hidden="1" customHeight="1" x14ac:dyDescent="0.15">
      <c r="A50" s="1">
        <v>48</v>
      </c>
      <c r="B50" s="1" t="s">
        <v>215</v>
      </c>
      <c r="C50" s="1">
        <v>14</v>
      </c>
      <c r="G50" s="96" t="str">
        <f t="shared" si="0"/>
        <v>XF14</v>
      </c>
      <c r="H50" s="2" t="s">
        <v>45</v>
      </c>
      <c r="I50" s="42"/>
      <c r="K50" s="1" t="s">
        <v>137</v>
      </c>
      <c r="L50" s="1">
        <f t="shared" si="1"/>
        <v>237</v>
      </c>
      <c r="M50" s="1">
        <f t="shared" si="2"/>
        <v>235</v>
      </c>
      <c r="N50" s="1">
        <f t="shared" si="3"/>
        <v>216</v>
      </c>
      <c r="O50" s="97">
        <f t="shared" si="13"/>
        <v>7.0588235294117646E-2</v>
      </c>
      <c r="P50" s="97">
        <f t="shared" si="13"/>
        <v>7.8431372549019607E-2</v>
      </c>
      <c r="Q50" s="97">
        <f t="shared" si="13"/>
        <v>0.15294117647058825</v>
      </c>
      <c r="R50" s="4">
        <f t="shared" si="5"/>
        <v>0</v>
      </c>
      <c r="S50" s="4">
        <f t="shared" si="6"/>
        <v>8.4388185654008432E-3</v>
      </c>
      <c r="T50" s="4">
        <f t="shared" si="7"/>
        <v>8.8607594936708875E-2</v>
      </c>
      <c r="U50" s="4">
        <f t="shared" si="8"/>
        <v>7.0588235294117646E-2</v>
      </c>
      <c r="V50" s="4">
        <f t="shared" si="9"/>
        <v>0</v>
      </c>
      <c r="W50" s="4">
        <f t="shared" si="10"/>
        <v>0</v>
      </c>
      <c r="X50" s="4">
        <f t="shared" si="11"/>
        <v>0</v>
      </c>
      <c r="Y50" s="4">
        <f t="shared" si="12"/>
        <v>0</v>
      </c>
    </row>
    <row r="51" spans="1:25" ht="27" hidden="1" customHeight="1" x14ac:dyDescent="0.15">
      <c r="A51" s="1">
        <v>49</v>
      </c>
      <c r="B51" s="1" t="s">
        <v>215</v>
      </c>
      <c r="C51" s="1">
        <v>15</v>
      </c>
      <c r="G51" s="96" t="str">
        <f t="shared" si="0"/>
        <v>XF15</v>
      </c>
      <c r="H51" s="2" t="s">
        <v>46</v>
      </c>
      <c r="I51" s="43"/>
      <c r="K51" s="1" t="s">
        <v>138</v>
      </c>
      <c r="L51" s="1">
        <f t="shared" si="1"/>
        <v>250</v>
      </c>
      <c r="M51" s="1">
        <f t="shared" si="2"/>
        <v>205</v>
      </c>
      <c r="N51" s="1">
        <f t="shared" si="3"/>
        <v>143</v>
      </c>
      <c r="O51" s="97">
        <f t="shared" si="13"/>
        <v>1.9607843137254902E-2</v>
      </c>
      <c r="P51" s="97">
        <f t="shared" si="13"/>
        <v>0.19607843137254902</v>
      </c>
      <c r="Q51" s="97">
        <f t="shared" si="13"/>
        <v>0.4392156862745098</v>
      </c>
      <c r="R51" s="4">
        <f t="shared" si="5"/>
        <v>0</v>
      </c>
      <c r="S51" s="4">
        <f t="shared" si="6"/>
        <v>0.18</v>
      </c>
      <c r="T51" s="4">
        <f t="shared" si="7"/>
        <v>0.42800000000000005</v>
      </c>
      <c r="U51" s="4">
        <f t="shared" si="8"/>
        <v>1.9607843137254902E-2</v>
      </c>
      <c r="V51" s="4">
        <f t="shared" si="9"/>
        <v>0</v>
      </c>
      <c r="W51" s="4">
        <f t="shared" si="10"/>
        <v>0</v>
      </c>
      <c r="X51" s="4">
        <f t="shared" si="11"/>
        <v>0</v>
      </c>
      <c r="Y51" s="4">
        <f t="shared" si="12"/>
        <v>0</v>
      </c>
    </row>
    <row r="52" spans="1:25" ht="27" hidden="1" customHeight="1" x14ac:dyDescent="0.15">
      <c r="A52" s="1">
        <v>50</v>
      </c>
      <c r="B52" s="1" t="s">
        <v>215</v>
      </c>
      <c r="C52" s="1">
        <v>16</v>
      </c>
      <c r="G52" s="96" t="str">
        <f t="shared" si="0"/>
        <v>XF16</v>
      </c>
      <c r="H52" s="2" t="s">
        <v>47</v>
      </c>
      <c r="I52" s="44"/>
      <c r="K52" s="1" t="s">
        <v>139</v>
      </c>
      <c r="L52" s="1">
        <f t="shared" si="1"/>
        <v>183</v>
      </c>
      <c r="M52" s="1">
        <f t="shared" si="2"/>
        <v>184</v>
      </c>
      <c r="N52" s="1">
        <f t="shared" si="3"/>
        <v>184</v>
      </c>
      <c r="O52" s="97">
        <f t="shared" si="13"/>
        <v>0.28235294117647058</v>
      </c>
      <c r="P52" s="97">
        <f t="shared" si="13"/>
        <v>0.27843137254901962</v>
      </c>
      <c r="Q52" s="97">
        <f t="shared" si="13"/>
        <v>0.27843137254901962</v>
      </c>
      <c r="R52" s="4">
        <f t="shared" si="5"/>
        <v>5.4347826086956329E-3</v>
      </c>
      <c r="S52" s="4">
        <f t="shared" si="6"/>
        <v>0</v>
      </c>
      <c r="T52" s="4">
        <f t="shared" si="7"/>
        <v>0</v>
      </c>
      <c r="U52" s="4">
        <f t="shared" si="8"/>
        <v>0.27843137254901962</v>
      </c>
      <c r="V52" s="4">
        <f t="shared" si="9"/>
        <v>0</v>
      </c>
      <c r="W52" s="4">
        <f t="shared" si="10"/>
        <v>0</v>
      </c>
      <c r="X52" s="4">
        <f t="shared" si="11"/>
        <v>0</v>
      </c>
      <c r="Y52" s="4">
        <f t="shared" si="12"/>
        <v>0</v>
      </c>
    </row>
    <row r="53" spans="1:25" ht="27" hidden="1" customHeight="1" x14ac:dyDescent="0.15">
      <c r="A53" s="1">
        <v>51</v>
      </c>
      <c r="B53" s="1" t="s">
        <v>215</v>
      </c>
      <c r="C53" s="1">
        <v>17</v>
      </c>
      <c r="G53" s="96" t="str">
        <f t="shared" si="0"/>
        <v>XF17</v>
      </c>
      <c r="H53" s="2" t="s">
        <v>48</v>
      </c>
      <c r="I53" s="45"/>
      <c r="K53" s="1" t="s">
        <v>140</v>
      </c>
      <c r="L53" s="1">
        <f t="shared" si="1"/>
        <v>15</v>
      </c>
      <c r="M53" s="1">
        <f t="shared" si="2"/>
        <v>58</v>
      </c>
      <c r="N53" s="1">
        <f t="shared" si="3"/>
        <v>88</v>
      </c>
      <c r="O53" s="97">
        <f t="shared" si="13"/>
        <v>0.94117647058823528</v>
      </c>
      <c r="P53" s="97">
        <f t="shared" si="13"/>
        <v>0.77254901960784317</v>
      </c>
      <c r="Q53" s="97">
        <f t="shared" si="13"/>
        <v>0.65490196078431373</v>
      </c>
      <c r="R53" s="4">
        <f t="shared" si="5"/>
        <v>0.82954545454545447</v>
      </c>
      <c r="S53" s="4">
        <f t="shared" si="6"/>
        <v>0.34090909090909099</v>
      </c>
      <c r="T53" s="4">
        <f t="shared" si="7"/>
        <v>0</v>
      </c>
      <c r="U53" s="4">
        <f t="shared" si="8"/>
        <v>0.65490196078431373</v>
      </c>
      <c r="V53" s="4">
        <f t="shared" si="9"/>
        <v>0</v>
      </c>
      <c r="W53" s="4">
        <f t="shared" si="10"/>
        <v>0</v>
      </c>
      <c r="X53" s="4">
        <f t="shared" si="11"/>
        <v>0</v>
      </c>
      <c r="Y53" s="4">
        <f t="shared" si="12"/>
        <v>0</v>
      </c>
    </row>
    <row r="54" spans="1:25" ht="27" hidden="1" customHeight="1" x14ac:dyDescent="0.15">
      <c r="A54" s="1">
        <v>52</v>
      </c>
      <c r="B54" s="1" t="s">
        <v>215</v>
      </c>
      <c r="C54" s="1">
        <v>18</v>
      </c>
      <c r="G54" s="96" t="str">
        <f t="shared" si="0"/>
        <v>XF18</v>
      </c>
      <c r="H54" s="2" t="s">
        <v>49</v>
      </c>
      <c r="I54" s="46"/>
      <c r="K54" s="1" t="s">
        <v>141</v>
      </c>
      <c r="L54" s="1">
        <f t="shared" si="1"/>
        <v>8</v>
      </c>
      <c r="M54" s="1">
        <f t="shared" si="2"/>
        <v>120</v>
      </c>
      <c r="N54" s="1">
        <f t="shared" si="3"/>
        <v>160</v>
      </c>
      <c r="O54" s="97">
        <f t="shared" si="13"/>
        <v>0.96862745098039216</v>
      </c>
      <c r="P54" s="97">
        <f t="shared" si="13"/>
        <v>0.52941176470588236</v>
      </c>
      <c r="Q54" s="97">
        <f t="shared" si="13"/>
        <v>0.37254901960784315</v>
      </c>
      <c r="R54" s="4">
        <f t="shared" si="5"/>
        <v>0.95</v>
      </c>
      <c r="S54" s="4">
        <f t="shared" si="6"/>
        <v>0.25</v>
      </c>
      <c r="T54" s="4">
        <f t="shared" si="7"/>
        <v>0</v>
      </c>
      <c r="U54" s="4">
        <f t="shared" si="8"/>
        <v>0.37254901960784315</v>
      </c>
      <c r="V54" s="4">
        <f t="shared" si="9"/>
        <v>0</v>
      </c>
      <c r="W54" s="4">
        <f t="shared" si="10"/>
        <v>0</v>
      </c>
      <c r="X54" s="4">
        <f t="shared" si="11"/>
        <v>0</v>
      </c>
      <c r="Y54" s="4">
        <f t="shared" si="12"/>
        <v>0</v>
      </c>
    </row>
    <row r="55" spans="1:25" ht="27" hidden="1" customHeight="1" x14ac:dyDescent="0.15">
      <c r="A55" s="1">
        <v>53</v>
      </c>
      <c r="B55" s="1" t="s">
        <v>215</v>
      </c>
      <c r="C55" s="1">
        <v>19</v>
      </c>
      <c r="G55" s="96" t="str">
        <f t="shared" si="0"/>
        <v>XF19</v>
      </c>
      <c r="H55" s="2" t="s">
        <v>217</v>
      </c>
      <c r="I55" s="47"/>
      <c r="K55" s="1" t="s">
        <v>142</v>
      </c>
      <c r="L55" s="1">
        <f t="shared" si="1"/>
        <v>200</v>
      </c>
      <c r="M55" s="1">
        <f t="shared" si="2"/>
        <v>209</v>
      </c>
      <c r="N55" s="1">
        <f t="shared" si="3"/>
        <v>200</v>
      </c>
      <c r="O55" s="97">
        <f t="shared" si="13"/>
        <v>0.21568627450980393</v>
      </c>
      <c r="P55" s="97">
        <f t="shared" si="13"/>
        <v>0.1803921568627451</v>
      </c>
      <c r="Q55" s="97">
        <f t="shared" si="13"/>
        <v>0.21568627450980393</v>
      </c>
      <c r="R55" s="4">
        <f t="shared" si="5"/>
        <v>4.3062200956937816E-2</v>
      </c>
      <c r="S55" s="4">
        <f t="shared" si="6"/>
        <v>0</v>
      </c>
      <c r="T55" s="4">
        <f t="shared" si="7"/>
        <v>4.3062200956937816E-2</v>
      </c>
      <c r="U55" s="4">
        <f t="shared" si="8"/>
        <v>0.1803921568627451</v>
      </c>
      <c r="V55" s="4">
        <f t="shared" si="9"/>
        <v>0</v>
      </c>
      <c r="W55" s="4">
        <f t="shared" si="10"/>
        <v>0</v>
      </c>
      <c r="X55" s="4">
        <f t="shared" si="11"/>
        <v>0</v>
      </c>
      <c r="Y55" s="4">
        <f t="shared" si="12"/>
        <v>0</v>
      </c>
    </row>
    <row r="56" spans="1:25" ht="27" hidden="1" customHeight="1" x14ac:dyDescent="0.15">
      <c r="A56" s="1">
        <v>54</v>
      </c>
      <c r="B56" s="1" t="s">
        <v>215</v>
      </c>
      <c r="C56" s="1">
        <v>20</v>
      </c>
      <c r="G56" s="96" t="str">
        <f t="shared" si="0"/>
        <v>XF20</v>
      </c>
      <c r="H56" s="2" t="s">
        <v>218</v>
      </c>
      <c r="I56" s="48"/>
      <c r="K56" s="1" t="s">
        <v>143</v>
      </c>
      <c r="L56" s="1">
        <f t="shared" si="1"/>
        <v>175</v>
      </c>
      <c r="M56" s="1">
        <f t="shared" si="2"/>
        <v>187</v>
      </c>
      <c r="N56" s="1">
        <f t="shared" si="3"/>
        <v>182</v>
      </c>
      <c r="O56" s="97">
        <f t="shared" si="13"/>
        <v>0.31372549019607843</v>
      </c>
      <c r="P56" s="97">
        <f t="shared" si="13"/>
        <v>0.26666666666666666</v>
      </c>
      <c r="Q56" s="97">
        <f t="shared" si="13"/>
        <v>0.28627450980392155</v>
      </c>
      <c r="R56" s="4">
        <f t="shared" si="5"/>
        <v>6.4171122994652399E-2</v>
      </c>
      <c r="S56" s="4">
        <f t="shared" si="6"/>
        <v>0</v>
      </c>
      <c r="T56" s="4">
        <f t="shared" si="7"/>
        <v>2.6737967914438481E-2</v>
      </c>
      <c r="U56" s="4">
        <f t="shared" si="8"/>
        <v>0.26666666666666666</v>
      </c>
      <c r="V56" s="4">
        <f t="shared" si="9"/>
        <v>0</v>
      </c>
      <c r="W56" s="4">
        <f t="shared" si="10"/>
        <v>0</v>
      </c>
      <c r="X56" s="4">
        <f t="shared" si="11"/>
        <v>0</v>
      </c>
      <c r="Y56" s="4">
        <f t="shared" si="12"/>
        <v>0</v>
      </c>
    </row>
    <row r="57" spans="1:25" ht="27" hidden="1" customHeight="1" x14ac:dyDescent="0.15">
      <c r="A57" s="1">
        <v>55</v>
      </c>
      <c r="B57" s="1" t="s">
        <v>215</v>
      </c>
      <c r="C57" s="1">
        <v>21</v>
      </c>
      <c r="G57" s="96" t="str">
        <f t="shared" si="0"/>
        <v>XF21</v>
      </c>
      <c r="H57" s="2" t="s">
        <v>50</v>
      </c>
      <c r="I57" s="49"/>
      <c r="K57" s="1" t="s">
        <v>144</v>
      </c>
      <c r="L57" s="1">
        <f t="shared" si="1"/>
        <v>232</v>
      </c>
      <c r="M57" s="1">
        <f t="shared" si="2"/>
        <v>241</v>
      </c>
      <c r="N57" s="1">
        <f t="shared" si="3"/>
        <v>205</v>
      </c>
      <c r="O57" s="97">
        <f t="shared" si="13"/>
        <v>9.0196078431372548E-2</v>
      </c>
      <c r="P57" s="97">
        <f t="shared" si="13"/>
        <v>5.4901960784313725E-2</v>
      </c>
      <c r="Q57" s="97">
        <f t="shared" si="13"/>
        <v>0.19607843137254902</v>
      </c>
      <c r="R57" s="4">
        <f t="shared" si="5"/>
        <v>3.7344398340248962E-2</v>
      </c>
      <c r="S57" s="4">
        <f t="shared" si="6"/>
        <v>0</v>
      </c>
      <c r="T57" s="4">
        <f t="shared" si="7"/>
        <v>0.14937759336099585</v>
      </c>
      <c r="U57" s="4">
        <f t="shared" si="8"/>
        <v>5.4901960784313725E-2</v>
      </c>
      <c r="V57" s="4">
        <f t="shared" si="9"/>
        <v>0</v>
      </c>
      <c r="W57" s="4">
        <f t="shared" si="10"/>
        <v>0</v>
      </c>
      <c r="X57" s="4">
        <f t="shared" si="11"/>
        <v>0</v>
      </c>
      <c r="Y57" s="4">
        <f t="shared" si="12"/>
        <v>0</v>
      </c>
    </row>
    <row r="58" spans="1:25" ht="27" hidden="1" customHeight="1" x14ac:dyDescent="0.15">
      <c r="A58" s="1">
        <v>56</v>
      </c>
      <c r="B58" s="1" t="s">
        <v>215</v>
      </c>
      <c r="C58" s="1">
        <v>22</v>
      </c>
      <c r="G58" s="96" t="str">
        <f t="shared" si="0"/>
        <v>XF22</v>
      </c>
      <c r="H58" s="2" t="s">
        <v>51</v>
      </c>
      <c r="I58" s="50"/>
      <c r="K58" s="1" t="s">
        <v>145</v>
      </c>
      <c r="L58" s="1">
        <f t="shared" si="1"/>
        <v>82</v>
      </c>
      <c r="M58" s="1">
        <f t="shared" si="2"/>
        <v>99</v>
      </c>
      <c r="N58" s="1">
        <f t="shared" si="3"/>
        <v>103</v>
      </c>
      <c r="O58" s="97">
        <f t="shared" si="13"/>
        <v>0.67843137254901964</v>
      </c>
      <c r="P58" s="97">
        <f t="shared" si="13"/>
        <v>0.61176470588235299</v>
      </c>
      <c r="Q58" s="97">
        <f t="shared" si="13"/>
        <v>0.59607843137254901</v>
      </c>
      <c r="R58" s="4">
        <f t="shared" si="5"/>
        <v>0.20388349514563117</v>
      </c>
      <c r="S58" s="4">
        <f t="shared" si="6"/>
        <v>3.8834951456310815E-2</v>
      </c>
      <c r="T58" s="4">
        <f t="shared" si="7"/>
        <v>0</v>
      </c>
      <c r="U58" s="4">
        <f t="shared" si="8"/>
        <v>0.59607843137254901</v>
      </c>
      <c r="V58" s="4">
        <f t="shared" si="9"/>
        <v>0</v>
      </c>
      <c r="W58" s="4">
        <f t="shared" si="10"/>
        <v>0</v>
      </c>
      <c r="X58" s="4">
        <f t="shared" si="11"/>
        <v>0</v>
      </c>
      <c r="Y58" s="4">
        <f t="shared" si="12"/>
        <v>0</v>
      </c>
    </row>
    <row r="59" spans="1:25" ht="27" hidden="1" customHeight="1" x14ac:dyDescent="0.15">
      <c r="A59" s="1">
        <v>57</v>
      </c>
      <c r="B59" s="1" t="s">
        <v>215</v>
      </c>
      <c r="C59" s="1">
        <v>23</v>
      </c>
      <c r="G59" s="96" t="str">
        <f t="shared" si="0"/>
        <v>XF23</v>
      </c>
      <c r="H59" s="2" t="s">
        <v>52</v>
      </c>
      <c r="I59" s="51"/>
      <c r="K59" s="1" t="s">
        <v>146</v>
      </c>
      <c r="L59" s="1">
        <f t="shared" si="1"/>
        <v>126</v>
      </c>
      <c r="M59" s="1">
        <f t="shared" si="2"/>
        <v>204</v>
      </c>
      <c r="N59" s="1">
        <f t="shared" si="3"/>
        <v>222</v>
      </c>
      <c r="O59" s="97">
        <f t="shared" si="13"/>
        <v>0.50588235294117645</v>
      </c>
      <c r="P59" s="97">
        <f t="shared" si="13"/>
        <v>0.2</v>
      </c>
      <c r="Q59" s="97">
        <f t="shared" si="13"/>
        <v>0.12941176470588237</v>
      </c>
      <c r="R59" s="4">
        <f t="shared" si="5"/>
        <v>0.4324324324324324</v>
      </c>
      <c r="S59" s="4">
        <f t="shared" si="6"/>
        <v>8.1081081081081072E-2</v>
      </c>
      <c r="T59" s="4">
        <f t="shared" si="7"/>
        <v>0</v>
      </c>
      <c r="U59" s="4">
        <f t="shared" si="8"/>
        <v>0.12941176470588237</v>
      </c>
      <c r="V59" s="4">
        <f t="shared" si="9"/>
        <v>0</v>
      </c>
      <c r="W59" s="4">
        <f t="shared" si="10"/>
        <v>0</v>
      </c>
      <c r="X59" s="4">
        <f t="shared" si="11"/>
        <v>0</v>
      </c>
      <c r="Y59" s="4">
        <f t="shared" si="12"/>
        <v>0</v>
      </c>
    </row>
    <row r="60" spans="1:25" ht="27" hidden="1" customHeight="1" x14ac:dyDescent="0.15">
      <c r="A60" s="1">
        <v>58</v>
      </c>
      <c r="B60" s="1" t="s">
        <v>215</v>
      </c>
      <c r="C60" s="1">
        <v>24</v>
      </c>
      <c r="G60" s="96" t="str">
        <f t="shared" si="0"/>
        <v>XF24</v>
      </c>
      <c r="H60" s="2" t="s">
        <v>53</v>
      </c>
      <c r="I60" s="52"/>
      <c r="K60" s="1" t="s">
        <v>147</v>
      </c>
      <c r="L60" s="1">
        <f t="shared" si="1"/>
        <v>47</v>
      </c>
      <c r="M60" s="1">
        <f t="shared" si="2"/>
        <v>104</v>
      </c>
      <c r="N60" s="1">
        <f t="shared" si="3"/>
        <v>120</v>
      </c>
      <c r="O60" s="97">
        <f t="shared" si="13"/>
        <v>0.81568627450980391</v>
      </c>
      <c r="P60" s="97">
        <f t="shared" si="13"/>
        <v>0.59215686274509804</v>
      </c>
      <c r="Q60" s="97">
        <f t="shared" si="13"/>
        <v>0.52941176470588236</v>
      </c>
      <c r="R60" s="4">
        <f t="shared" si="5"/>
        <v>0.60833333333333328</v>
      </c>
      <c r="S60" s="4">
        <f t="shared" si="6"/>
        <v>0.13333333333333333</v>
      </c>
      <c r="T60" s="4">
        <f t="shared" si="7"/>
        <v>0</v>
      </c>
      <c r="U60" s="4">
        <f t="shared" si="8"/>
        <v>0.52941176470588236</v>
      </c>
      <c r="V60" s="4">
        <f t="shared" si="9"/>
        <v>0</v>
      </c>
      <c r="W60" s="4">
        <f t="shared" si="10"/>
        <v>0</v>
      </c>
      <c r="X60" s="4">
        <f t="shared" si="11"/>
        <v>0</v>
      </c>
      <c r="Y60" s="4">
        <f t="shared" si="12"/>
        <v>0</v>
      </c>
    </row>
    <row r="61" spans="1:25" ht="27" hidden="1" customHeight="1" x14ac:dyDescent="0.15">
      <c r="A61" s="1">
        <v>59</v>
      </c>
      <c r="B61" s="1" t="s">
        <v>215</v>
      </c>
      <c r="C61" s="1">
        <v>25</v>
      </c>
      <c r="G61" s="96" t="str">
        <f t="shared" si="0"/>
        <v>XF25</v>
      </c>
      <c r="H61" s="2" t="s">
        <v>54</v>
      </c>
      <c r="I61" s="53"/>
      <c r="K61" s="1" t="s">
        <v>148</v>
      </c>
      <c r="L61" s="1">
        <f t="shared" si="1"/>
        <v>133</v>
      </c>
      <c r="M61" s="1">
        <f t="shared" si="2"/>
        <v>155</v>
      </c>
      <c r="N61" s="1">
        <f t="shared" si="3"/>
        <v>166</v>
      </c>
      <c r="O61" s="97">
        <f t="shared" si="13"/>
        <v>0.47843137254901963</v>
      </c>
      <c r="P61" s="97">
        <f t="shared" si="13"/>
        <v>0.39215686274509803</v>
      </c>
      <c r="Q61" s="97">
        <f t="shared" si="13"/>
        <v>0.34901960784313724</v>
      </c>
      <c r="R61" s="4">
        <f t="shared" si="5"/>
        <v>0.19879518072289162</v>
      </c>
      <c r="S61" s="4">
        <f t="shared" si="6"/>
        <v>6.6265060240963874E-2</v>
      </c>
      <c r="T61" s="4">
        <f t="shared" si="7"/>
        <v>0</v>
      </c>
      <c r="U61" s="4">
        <f t="shared" si="8"/>
        <v>0.34901960784313724</v>
      </c>
      <c r="V61" s="4">
        <f t="shared" si="9"/>
        <v>0</v>
      </c>
      <c r="W61" s="4">
        <f t="shared" si="10"/>
        <v>0</v>
      </c>
      <c r="X61" s="4">
        <f t="shared" si="11"/>
        <v>0</v>
      </c>
      <c r="Y61" s="4">
        <f t="shared" si="12"/>
        <v>0</v>
      </c>
    </row>
    <row r="62" spans="1:25" ht="27" hidden="1" customHeight="1" x14ac:dyDescent="0.15">
      <c r="A62" s="1">
        <v>60</v>
      </c>
      <c r="B62" s="1" t="s">
        <v>215</v>
      </c>
      <c r="C62" s="1">
        <v>26</v>
      </c>
      <c r="G62" s="96" t="str">
        <f t="shared" si="0"/>
        <v>XF26</v>
      </c>
      <c r="H62" s="2" t="s">
        <v>55</v>
      </c>
      <c r="I62" s="54"/>
      <c r="K62" s="1" t="s">
        <v>149</v>
      </c>
      <c r="L62" s="1">
        <f t="shared" si="1"/>
        <v>18</v>
      </c>
      <c r="M62" s="1">
        <f t="shared" si="2"/>
        <v>100</v>
      </c>
      <c r="N62" s="1">
        <f t="shared" si="3"/>
        <v>66</v>
      </c>
      <c r="O62" s="97">
        <f t="shared" si="13"/>
        <v>0.92941176470588238</v>
      </c>
      <c r="P62" s="97">
        <f t="shared" si="13"/>
        <v>0.60784313725490191</v>
      </c>
      <c r="Q62" s="97">
        <f t="shared" si="13"/>
        <v>0.74117647058823533</v>
      </c>
      <c r="R62" s="4">
        <f t="shared" si="5"/>
        <v>0.82000000000000006</v>
      </c>
      <c r="S62" s="4">
        <f t="shared" si="6"/>
        <v>0</v>
      </c>
      <c r="T62" s="4">
        <f t="shared" si="7"/>
        <v>0.34000000000000019</v>
      </c>
      <c r="U62" s="4">
        <f t="shared" si="8"/>
        <v>0.60784313725490191</v>
      </c>
      <c r="V62" s="4">
        <f t="shared" si="9"/>
        <v>0</v>
      </c>
      <c r="W62" s="4">
        <f t="shared" si="10"/>
        <v>0</v>
      </c>
      <c r="X62" s="4">
        <f t="shared" si="11"/>
        <v>0</v>
      </c>
      <c r="Y62" s="4">
        <f t="shared" si="12"/>
        <v>0</v>
      </c>
    </row>
    <row r="63" spans="1:25" ht="27" hidden="1" customHeight="1" x14ac:dyDescent="0.15">
      <c r="A63" s="1">
        <v>61</v>
      </c>
      <c r="B63" s="1" t="s">
        <v>215</v>
      </c>
      <c r="C63" s="1">
        <v>27</v>
      </c>
      <c r="G63" s="96" t="str">
        <f t="shared" si="0"/>
        <v>XF27</v>
      </c>
      <c r="H63" s="2" t="s">
        <v>56</v>
      </c>
      <c r="I63" s="55"/>
      <c r="K63" s="1" t="s">
        <v>150</v>
      </c>
      <c r="L63" s="1">
        <f t="shared" si="1"/>
        <v>0</v>
      </c>
      <c r="M63" s="1">
        <f t="shared" si="2"/>
        <v>71</v>
      </c>
      <c r="N63" s="1">
        <f t="shared" si="3"/>
        <v>49</v>
      </c>
      <c r="O63" s="97">
        <f t="shared" si="13"/>
        <v>1</v>
      </c>
      <c r="P63" s="97">
        <f t="shared" si="13"/>
        <v>0.72156862745098038</v>
      </c>
      <c r="Q63" s="97">
        <f t="shared" si="13"/>
        <v>0.80784313725490198</v>
      </c>
      <c r="R63" s="4">
        <f t="shared" si="5"/>
        <v>1</v>
      </c>
      <c r="S63" s="4">
        <f t="shared" si="6"/>
        <v>0</v>
      </c>
      <c r="T63" s="4">
        <f t="shared" si="7"/>
        <v>0.30985915492957755</v>
      </c>
      <c r="U63" s="4">
        <f t="shared" si="8"/>
        <v>0.72156862745098038</v>
      </c>
      <c r="V63" s="4">
        <f t="shared" si="9"/>
        <v>0</v>
      </c>
      <c r="W63" s="4">
        <f t="shared" si="10"/>
        <v>0</v>
      </c>
      <c r="X63" s="4">
        <f t="shared" si="11"/>
        <v>0</v>
      </c>
      <c r="Y63" s="4">
        <f t="shared" si="12"/>
        <v>0</v>
      </c>
    </row>
    <row r="64" spans="1:25" ht="27" hidden="1" customHeight="1" x14ac:dyDescent="0.15">
      <c r="A64" s="1">
        <v>62</v>
      </c>
      <c r="B64" s="1" t="s">
        <v>215</v>
      </c>
      <c r="C64" s="1">
        <v>28</v>
      </c>
      <c r="G64" s="96" t="str">
        <f t="shared" si="0"/>
        <v>XF28</v>
      </c>
      <c r="H64" s="2" t="s">
        <v>57</v>
      </c>
      <c r="I64" s="56"/>
      <c r="K64" s="1" t="s">
        <v>151</v>
      </c>
      <c r="L64" s="1">
        <f t="shared" si="1"/>
        <v>164</v>
      </c>
      <c r="M64" s="1">
        <f t="shared" si="2"/>
        <v>129</v>
      </c>
      <c r="N64" s="1">
        <f t="shared" si="3"/>
        <v>99</v>
      </c>
      <c r="O64" s="97">
        <f t="shared" si="13"/>
        <v>0.35686274509803922</v>
      </c>
      <c r="P64" s="97">
        <f t="shared" si="13"/>
        <v>0.49411764705882355</v>
      </c>
      <c r="Q64" s="97">
        <f t="shared" si="13"/>
        <v>0.61176470588235299</v>
      </c>
      <c r="R64" s="4">
        <f t="shared" si="5"/>
        <v>0</v>
      </c>
      <c r="S64" s="4">
        <f t="shared" si="6"/>
        <v>0.21341463414634151</v>
      </c>
      <c r="T64" s="4">
        <f t="shared" si="7"/>
        <v>0.39634146341463422</v>
      </c>
      <c r="U64" s="4">
        <f t="shared" si="8"/>
        <v>0.35686274509803922</v>
      </c>
      <c r="V64" s="4">
        <f t="shared" si="9"/>
        <v>0</v>
      </c>
      <c r="W64" s="4">
        <f t="shared" si="10"/>
        <v>0</v>
      </c>
      <c r="X64" s="4">
        <f t="shared" si="11"/>
        <v>0</v>
      </c>
      <c r="Y64" s="4">
        <f t="shared" si="12"/>
        <v>0</v>
      </c>
    </row>
    <row r="65" spans="1:25" ht="27" hidden="1" customHeight="1" x14ac:dyDescent="0.15">
      <c r="A65" s="1">
        <v>63</v>
      </c>
      <c r="B65" s="1" t="s">
        <v>215</v>
      </c>
      <c r="C65" s="1">
        <v>49</v>
      </c>
      <c r="G65" s="96" t="str">
        <f t="shared" si="0"/>
        <v>XF49</v>
      </c>
      <c r="H65" s="2" t="s">
        <v>58</v>
      </c>
      <c r="I65" s="57"/>
      <c r="K65" s="1" t="s">
        <v>152</v>
      </c>
      <c r="L65" s="1">
        <f t="shared" si="1"/>
        <v>154</v>
      </c>
      <c r="M65" s="1">
        <f t="shared" si="2"/>
        <v>143</v>
      </c>
      <c r="N65" s="1">
        <f t="shared" si="3"/>
        <v>52</v>
      </c>
      <c r="O65" s="97">
        <f t="shared" si="13"/>
        <v>0.396078431372549</v>
      </c>
      <c r="P65" s="97">
        <f t="shared" si="13"/>
        <v>0.4392156862745098</v>
      </c>
      <c r="Q65" s="97">
        <f t="shared" si="13"/>
        <v>0.79607843137254897</v>
      </c>
      <c r="R65" s="4">
        <f t="shared" si="5"/>
        <v>0</v>
      </c>
      <c r="S65" s="4">
        <f t="shared" si="6"/>
        <v>7.1428571428571438E-2</v>
      </c>
      <c r="T65" s="4">
        <f t="shared" si="7"/>
        <v>0.66233766233766223</v>
      </c>
      <c r="U65" s="4">
        <f t="shared" si="8"/>
        <v>0.396078431372549</v>
      </c>
      <c r="V65" s="4">
        <f t="shared" si="9"/>
        <v>0</v>
      </c>
      <c r="W65" s="4">
        <f t="shared" si="10"/>
        <v>0</v>
      </c>
      <c r="X65" s="4">
        <f t="shared" si="11"/>
        <v>0</v>
      </c>
      <c r="Y65" s="4">
        <f t="shared" si="12"/>
        <v>0</v>
      </c>
    </row>
    <row r="66" spans="1:25" ht="27" hidden="1" customHeight="1" x14ac:dyDescent="0.15">
      <c r="A66" s="1">
        <v>64</v>
      </c>
      <c r="B66" s="1" t="s">
        <v>215</v>
      </c>
      <c r="C66" s="1">
        <v>50</v>
      </c>
      <c r="G66" s="96" t="str">
        <f t="shared" si="0"/>
        <v>XF50</v>
      </c>
      <c r="H66" s="2" t="s">
        <v>209</v>
      </c>
      <c r="I66" s="58"/>
      <c r="K66" s="1" t="s">
        <v>153</v>
      </c>
      <c r="L66" s="1">
        <f t="shared" si="1"/>
        <v>21</v>
      </c>
      <c r="M66" s="1">
        <f t="shared" si="2"/>
        <v>130</v>
      </c>
      <c r="N66" s="1">
        <f t="shared" si="3"/>
        <v>166</v>
      </c>
      <c r="O66" s="97">
        <f t="shared" si="13"/>
        <v>0.91764705882352937</v>
      </c>
      <c r="P66" s="97">
        <f t="shared" si="13"/>
        <v>0.49019607843137253</v>
      </c>
      <c r="Q66" s="97">
        <f t="shared" si="13"/>
        <v>0.34901960784313724</v>
      </c>
      <c r="R66" s="4">
        <f t="shared" si="5"/>
        <v>0.87349397590361444</v>
      </c>
      <c r="S66" s="4">
        <f t="shared" si="6"/>
        <v>0.21686746987951808</v>
      </c>
      <c r="T66" s="4">
        <f t="shared" si="7"/>
        <v>0</v>
      </c>
      <c r="U66" s="4">
        <f t="shared" si="8"/>
        <v>0.34901960784313724</v>
      </c>
      <c r="V66" s="4">
        <f t="shared" si="9"/>
        <v>0</v>
      </c>
      <c r="W66" s="4">
        <f t="shared" si="10"/>
        <v>0</v>
      </c>
      <c r="X66" s="4">
        <f t="shared" si="11"/>
        <v>0</v>
      </c>
      <c r="Y66" s="4">
        <f t="shared" si="12"/>
        <v>0</v>
      </c>
    </row>
    <row r="67" spans="1:25" ht="27" hidden="1" customHeight="1" x14ac:dyDescent="0.15">
      <c r="A67" s="1">
        <v>65</v>
      </c>
      <c r="B67" s="1" t="s">
        <v>215</v>
      </c>
      <c r="C67" s="1">
        <v>51</v>
      </c>
      <c r="G67" s="96" t="str">
        <f t="shared" ref="G67:G109" si="14">B67&amp;C67&amp;D67</f>
        <v>XF51</v>
      </c>
      <c r="H67" s="2" t="s">
        <v>59</v>
      </c>
      <c r="I67" s="59"/>
      <c r="K67" s="1" t="s">
        <v>154</v>
      </c>
      <c r="L67" s="1">
        <f t="shared" ref="L67:L109" si="15">HEX2DEC(MID(K67,9,2))</f>
        <v>87</v>
      </c>
      <c r="M67" s="1">
        <f t="shared" ref="M67:M109" si="16">HEX2DEC(MID(K67,7,2))</f>
        <v>95</v>
      </c>
      <c r="N67" s="1">
        <f t="shared" ref="N67:N109" si="17">HEX2DEC(MID(K67,5,2))</f>
        <v>92</v>
      </c>
      <c r="O67" s="97">
        <f t="shared" ref="O67:Q98" si="18">(255-L67)/255</f>
        <v>0.6588235294117647</v>
      </c>
      <c r="P67" s="97">
        <f t="shared" si="18"/>
        <v>0.62745098039215685</v>
      </c>
      <c r="Q67" s="97">
        <f t="shared" si="18"/>
        <v>0.63921568627450975</v>
      </c>
      <c r="R67" s="4">
        <f t="shared" ref="R67:R109" si="19">(O67-U67)/(1-U67)</f>
        <v>8.4210526315789472E-2</v>
      </c>
      <c r="S67" s="4">
        <f t="shared" ref="S67:S109" si="20">(P67-U67)/(1-U67)</f>
        <v>0</v>
      </c>
      <c r="T67" s="4">
        <f t="shared" ref="T67:T109" si="21">(Q67-U67)/(1-U67)</f>
        <v>3.1578947368420943E-2</v>
      </c>
      <c r="U67" s="4">
        <f t="shared" ref="U67:U109" si="22">MIN(O67,P67,Q67)</f>
        <v>0.62745098039215685</v>
      </c>
      <c r="V67" s="4">
        <f t="shared" ref="V67:V109" si="23">J67*R67</f>
        <v>0</v>
      </c>
      <c r="W67" s="4">
        <f t="shared" ref="W67:W109" si="24">J67*S67</f>
        <v>0</v>
      </c>
      <c r="X67" s="4">
        <f t="shared" ref="X67:X109" si="25">J67*T67</f>
        <v>0</v>
      </c>
      <c r="Y67" s="4">
        <f t="shared" ref="Y67:Y109" si="26">J67*U67</f>
        <v>0</v>
      </c>
    </row>
    <row r="68" spans="1:25" ht="27" hidden="1" customHeight="1" x14ac:dyDescent="0.15">
      <c r="A68" s="1">
        <v>66</v>
      </c>
      <c r="B68" s="1" t="s">
        <v>215</v>
      </c>
      <c r="C68" s="1">
        <v>52</v>
      </c>
      <c r="G68" s="96" t="str">
        <f t="shared" si="14"/>
        <v>XF52</v>
      </c>
      <c r="H68" s="2" t="s">
        <v>60</v>
      </c>
      <c r="I68" s="60"/>
      <c r="K68" s="1" t="s">
        <v>155</v>
      </c>
      <c r="L68" s="1">
        <f t="shared" si="15"/>
        <v>153</v>
      </c>
      <c r="M68" s="1">
        <f t="shared" si="16"/>
        <v>72</v>
      </c>
      <c r="N68" s="1">
        <f t="shared" si="17"/>
        <v>48</v>
      </c>
      <c r="O68" s="97">
        <f t="shared" si="18"/>
        <v>0.4</v>
      </c>
      <c r="P68" s="97">
        <f t="shared" si="18"/>
        <v>0.71764705882352942</v>
      </c>
      <c r="Q68" s="97">
        <f t="shared" si="18"/>
        <v>0.81176470588235294</v>
      </c>
      <c r="R68" s="4">
        <f t="shared" si="19"/>
        <v>0</v>
      </c>
      <c r="S68" s="4">
        <f t="shared" si="20"/>
        <v>0.52941176470588236</v>
      </c>
      <c r="T68" s="4">
        <f t="shared" si="21"/>
        <v>0.68627450980392157</v>
      </c>
      <c r="U68" s="4">
        <f t="shared" si="22"/>
        <v>0.4</v>
      </c>
      <c r="V68" s="4">
        <f t="shared" si="23"/>
        <v>0</v>
      </c>
      <c r="W68" s="4">
        <f t="shared" si="24"/>
        <v>0</v>
      </c>
      <c r="X68" s="4">
        <f t="shared" si="25"/>
        <v>0</v>
      </c>
      <c r="Y68" s="4">
        <f t="shared" si="26"/>
        <v>0</v>
      </c>
    </row>
    <row r="69" spans="1:25" ht="27" hidden="1" customHeight="1" x14ac:dyDescent="0.15">
      <c r="A69" s="1">
        <v>67</v>
      </c>
      <c r="B69" s="1" t="s">
        <v>215</v>
      </c>
      <c r="C69" s="1">
        <v>53</v>
      </c>
      <c r="G69" s="96" t="str">
        <f t="shared" si="14"/>
        <v>XF53</v>
      </c>
      <c r="H69" s="2" t="s">
        <v>61</v>
      </c>
      <c r="I69" s="61"/>
      <c r="K69" s="1" t="s">
        <v>156</v>
      </c>
      <c r="L69" s="1">
        <f t="shared" si="15"/>
        <v>113</v>
      </c>
      <c r="M69" s="1">
        <f t="shared" si="16"/>
        <v>132</v>
      </c>
      <c r="N69" s="1">
        <f t="shared" si="17"/>
        <v>142</v>
      </c>
      <c r="O69" s="97">
        <f t="shared" si="18"/>
        <v>0.55686274509803924</v>
      </c>
      <c r="P69" s="97">
        <f t="shared" si="18"/>
        <v>0.4823529411764706</v>
      </c>
      <c r="Q69" s="97">
        <f t="shared" si="18"/>
        <v>0.44313725490196076</v>
      </c>
      <c r="R69" s="4">
        <f t="shared" si="19"/>
        <v>0.20422535211267612</v>
      </c>
      <c r="S69" s="4">
        <f t="shared" si="20"/>
        <v>7.0422535211267651E-2</v>
      </c>
      <c r="T69" s="4">
        <f t="shared" si="21"/>
        <v>0</v>
      </c>
      <c r="U69" s="4">
        <f t="shared" si="22"/>
        <v>0.44313725490196076</v>
      </c>
      <c r="V69" s="4">
        <f t="shared" si="23"/>
        <v>0</v>
      </c>
      <c r="W69" s="4">
        <f t="shared" si="24"/>
        <v>0</v>
      </c>
      <c r="X69" s="4">
        <f t="shared" si="25"/>
        <v>0</v>
      </c>
      <c r="Y69" s="4">
        <f t="shared" si="26"/>
        <v>0</v>
      </c>
    </row>
    <row r="70" spans="1:25" ht="27" customHeight="1" x14ac:dyDescent="0.15">
      <c r="A70" s="1">
        <v>68</v>
      </c>
      <c r="B70" s="1" t="s">
        <v>215</v>
      </c>
      <c r="C70" s="1">
        <v>54</v>
      </c>
      <c r="F70" s="1" t="s">
        <v>231</v>
      </c>
      <c r="G70" s="96" t="str">
        <f t="shared" si="14"/>
        <v>XF54</v>
      </c>
      <c r="H70" s="2" t="s">
        <v>219</v>
      </c>
      <c r="I70" s="62"/>
      <c r="J70" s="98">
        <v>3</v>
      </c>
      <c r="K70" s="1" t="s">
        <v>157</v>
      </c>
      <c r="L70" s="1">
        <f t="shared" si="15"/>
        <v>171</v>
      </c>
      <c r="M70" s="1">
        <f t="shared" si="16"/>
        <v>177</v>
      </c>
      <c r="N70" s="1">
        <f t="shared" si="17"/>
        <v>178</v>
      </c>
      <c r="O70" s="97">
        <f t="shared" si="18"/>
        <v>0.32941176470588235</v>
      </c>
      <c r="P70" s="97">
        <f t="shared" si="18"/>
        <v>0.30588235294117649</v>
      </c>
      <c r="Q70" s="97">
        <f t="shared" si="18"/>
        <v>0.30196078431372547</v>
      </c>
      <c r="R70" s="4">
        <f t="shared" si="19"/>
        <v>3.9325842696629233E-2</v>
      </c>
      <c r="S70" s="4">
        <f t="shared" si="20"/>
        <v>5.6179775280899473E-3</v>
      </c>
      <c r="T70" s="4">
        <f t="shared" si="21"/>
        <v>0</v>
      </c>
      <c r="U70" s="4">
        <f t="shared" si="22"/>
        <v>0.30196078431372547</v>
      </c>
      <c r="V70" s="4">
        <f t="shared" si="23"/>
        <v>0.11797752808988771</v>
      </c>
      <c r="W70" s="4">
        <f t="shared" si="24"/>
        <v>1.6853932584269843E-2</v>
      </c>
      <c r="X70" s="4">
        <f t="shared" si="25"/>
        <v>0</v>
      </c>
      <c r="Y70" s="4">
        <f t="shared" si="26"/>
        <v>0.90588235294117636</v>
      </c>
    </row>
    <row r="71" spans="1:25" ht="27" hidden="1" customHeight="1" x14ac:dyDescent="0.15">
      <c r="A71" s="1">
        <v>69</v>
      </c>
      <c r="B71" s="1" t="s">
        <v>215</v>
      </c>
      <c r="C71" s="1">
        <v>55</v>
      </c>
      <c r="G71" s="96" t="str">
        <f t="shared" si="14"/>
        <v>XF55</v>
      </c>
      <c r="H71" s="2" t="s">
        <v>62</v>
      </c>
      <c r="I71" s="63"/>
      <c r="K71" s="1" t="s">
        <v>158</v>
      </c>
      <c r="L71" s="1">
        <f t="shared" si="15"/>
        <v>203</v>
      </c>
      <c r="M71" s="1">
        <f t="shared" si="16"/>
        <v>190</v>
      </c>
      <c r="N71" s="1">
        <f t="shared" si="17"/>
        <v>162</v>
      </c>
      <c r="O71" s="97">
        <f t="shared" si="18"/>
        <v>0.20392156862745098</v>
      </c>
      <c r="P71" s="97">
        <f t="shared" si="18"/>
        <v>0.25490196078431371</v>
      </c>
      <c r="Q71" s="97">
        <f t="shared" si="18"/>
        <v>0.36470588235294116</v>
      </c>
      <c r="R71" s="4">
        <f t="shared" si="19"/>
        <v>0</v>
      </c>
      <c r="S71" s="4">
        <f t="shared" si="20"/>
        <v>6.4039408866995051E-2</v>
      </c>
      <c r="T71" s="4">
        <f t="shared" si="21"/>
        <v>0.20197044334975367</v>
      </c>
      <c r="U71" s="4">
        <f t="shared" si="22"/>
        <v>0.20392156862745098</v>
      </c>
      <c r="V71" s="4">
        <f t="shared" si="23"/>
        <v>0</v>
      </c>
      <c r="W71" s="4">
        <f t="shared" si="24"/>
        <v>0</v>
      </c>
      <c r="X71" s="4">
        <f t="shared" si="25"/>
        <v>0</v>
      </c>
      <c r="Y71" s="4">
        <f t="shared" si="26"/>
        <v>0</v>
      </c>
    </row>
    <row r="72" spans="1:25" ht="27" hidden="1" customHeight="1" x14ac:dyDescent="0.15">
      <c r="A72" s="1">
        <v>70</v>
      </c>
      <c r="B72" s="1" t="s">
        <v>215</v>
      </c>
      <c r="C72" s="1">
        <v>56</v>
      </c>
      <c r="G72" s="96" t="str">
        <f t="shared" si="14"/>
        <v>XF56</v>
      </c>
      <c r="H72" s="2" t="s">
        <v>63</v>
      </c>
      <c r="I72" s="64"/>
      <c r="K72" s="1" t="s">
        <v>159</v>
      </c>
      <c r="L72" s="1">
        <f t="shared" si="15"/>
        <v>114</v>
      </c>
      <c r="M72" s="1">
        <f t="shared" si="16"/>
        <v>113</v>
      </c>
      <c r="N72" s="1">
        <f t="shared" si="17"/>
        <v>113</v>
      </c>
      <c r="O72" s="97">
        <f t="shared" si="18"/>
        <v>0.55294117647058827</v>
      </c>
      <c r="P72" s="97">
        <f t="shared" si="18"/>
        <v>0.55686274509803924</v>
      </c>
      <c r="Q72" s="97">
        <f t="shared" si="18"/>
        <v>0.55686274509803924</v>
      </c>
      <c r="R72" s="4">
        <f t="shared" si="19"/>
        <v>0</v>
      </c>
      <c r="S72" s="4">
        <f t="shared" si="20"/>
        <v>8.7719298245613735E-3</v>
      </c>
      <c r="T72" s="4">
        <f t="shared" si="21"/>
        <v>8.7719298245613735E-3</v>
      </c>
      <c r="U72" s="4">
        <f t="shared" si="22"/>
        <v>0.55294117647058827</v>
      </c>
      <c r="V72" s="4">
        <f t="shared" si="23"/>
        <v>0</v>
      </c>
      <c r="W72" s="4">
        <f t="shared" si="24"/>
        <v>0</v>
      </c>
      <c r="X72" s="4">
        <f t="shared" si="25"/>
        <v>0</v>
      </c>
      <c r="Y72" s="4">
        <f t="shared" si="26"/>
        <v>0</v>
      </c>
    </row>
    <row r="73" spans="1:25" ht="27" hidden="1" customHeight="1" x14ac:dyDescent="0.15">
      <c r="A73" s="1">
        <v>71</v>
      </c>
      <c r="B73" s="1" t="s">
        <v>215</v>
      </c>
      <c r="C73" s="1">
        <v>57</v>
      </c>
      <c r="G73" s="96" t="str">
        <f t="shared" si="14"/>
        <v>XF57</v>
      </c>
      <c r="H73" s="2" t="s">
        <v>64</v>
      </c>
      <c r="I73" s="65"/>
      <c r="K73" s="1" t="s">
        <v>160</v>
      </c>
      <c r="L73" s="1">
        <f t="shared" si="15"/>
        <v>203</v>
      </c>
      <c r="M73" s="1">
        <f t="shared" si="16"/>
        <v>168</v>
      </c>
      <c r="N73" s="1">
        <f t="shared" si="17"/>
        <v>123</v>
      </c>
      <c r="O73" s="97">
        <f t="shared" si="18"/>
        <v>0.20392156862745098</v>
      </c>
      <c r="P73" s="97">
        <f t="shared" si="18"/>
        <v>0.3411764705882353</v>
      </c>
      <c r="Q73" s="97">
        <f t="shared" si="18"/>
        <v>0.51764705882352946</v>
      </c>
      <c r="R73" s="4">
        <f t="shared" si="19"/>
        <v>0</v>
      </c>
      <c r="S73" s="4">
        <f t="shared" si="20"/>
        <v>0.17241379310344829</v>
      </c>
      <c r="T73" s="4">
        <f t="shared" si="21"/>
        <v>0.39408866995073893</v>
      </c>
      <c r="U73" s="4">
        <f t="shared" si="22"/>
        <v>0.20392156862745098</v>
      </c>
      <c r="V73" s="4">
        <f t="shared" si="23"/>
        <v>0</v>
      </c>
      <c r="W73" s="4">
        <f t="shared" si="24"/>
        <v>0</v>
      </c>
      <c r="X73" s="4">
        <f t="shared" si="25"/>
        <v>0</v>
      </c>
      <c r="Y73" s="4">
        <f t="shared" si="26"/>
        <v>0</v>
      </c>
    </row>
    <row r="74" spans="1:25" ht="27" hidden="1" customHeight="1" x14ac:dyDescent="0.15">
      <c r="A74" s="1">
        <v>72</v>
      </c>
      <c r="B74" s="1" t="s">
        <v>215</v>
      </c>
      <c r="C74" s="1">
        <v>58</v>
      </c>
      <c r="G74" s="96" t="str">
        <f t="shared" si="14"/>
        <v>XF58</v>
      </c>
      <c r="H74" s="2" t="s">
        <v>65</v>
      </c>
      <c r="I74" s="66"/>
      <c r="K74" s="1" t="s">
        <v>161</v>
      </c>
      <c r="L74" s="1">
        <f t="shared" si="15"/>
        <v>35</v>
      </c>
      <c r="M74" s="1">
        <f t="shared" si="16"/>
        <v>73</v>
      </c>
      <c r="N74" s="1">
        <f t="shared" si="17"/>
        <v>56</v>
      </c>
      <c r="O74" s="97">
        <f t="shared" si="18"/>
        <v>0.86274509803921573</v>
      </c>
      <c r="P74" s="97">
        <f t="shared" si="18"/>
        <v>0.71372549019607845</v>
      </c>
      <c r="Q74" s="97">
        <f t="shared" si="18"/>
        <v>0.7803921568627451</v>
      </c>
      <c r="R74" s="4">
        <f t="shared" si="19"/>
        <v>0.52054794520547953</v>
      </c>
      <c r="S74" s="4">
        <f t="shared" si="20"/>
        <v>0</v>
      </c>
      <c r="T74" s="4">
        <f t="shared" si="21"/>
        <v>0.23287671232876708</v>
      </c>
      <c r="U74" s="4">
        <f t="shared" si="22"/>
        <v>0.71372549019607845</v>
      </c>
      <c r="V74" s="4">
        <f t="shared" si="23"/>
        <v>0</v>
      </c>
      <c r="W74" s="4">
        <f t="shared" si="24"/>
        <v>0</v>
      </c>
      <c r="X74" s="4">
        <f t="shared" si="25"/>
        <v>0</v>
      </c>
      <c r="Y74" s="4">
        <f t="shared" si="26"/>
        <v>0</v>
      </c>
    </row>
    <row r="75" spans="1:25" ht="27" hidden="1" customHeight="1" x14ac:dyDescent="0.15">
      <c r="A75" s="1">
        <v>73</v>
      </c>
      <c r="B75" s="1" t="s">
        <v>215</v>
      </c>
      <c r="C75" s="1">
        <v>59</v>
      </c>
      <c r="G75" s="96" t="str">
        <f t="shared" si="14"/>
        <v>XF59</v>
      </c>
      <c r="H75" s="2" t="s">
        <v>66</v>
      </c>
      <c r="I75" s="67"/>
      <c r="K75" s="1" t="s">
        <v>230</v>
      </c>
      <c r="L75" s="1">
        <f t="shared" si="15"/>
        <v>242</v>
      </c>
      <c r="M75" s="1">
        <f t="shared" si="16"/>
        <v>198</v>
      </c>
      <c r="N75" s="1">
        <f t="shared" si="17"/>
        <v>134</v>
      </c>
      <c r="O75" s="97">
        <f t="shared" si="18"/>
        <v>5.0980392156862744E-2</v>
      </c>
      <c r="P75" s="97">
        <f t="shared" si="18"/>
        <v>0.22352941176470589</v>
      </c>
      <c r="Q75" s="97">
        <f t="shared" si="18"/>
        <v>0.47450980392156861</v>
      </c>
      <c r="R75" s="4">
        <f t="shared" si="19"/>
        <v>0</v>
      </c>
      <c r="S75" s="4">
        <f t="shared" si="20"/>
        <v>0.18181818181818182</v>
      </c>
      <c r="T75" s="4">
        <f t="shared" si="21"/>
        <v>0.4462809917355372</v>
      </c>
      <c r="U75" s="4">
        <f t="shared" si="22"/>
        <v>5.0980392156862744E-2</v>
      </c>
      <c r="V75" s="4">
        <f t="shared" si="23"/>
        <v>0</v>
      </c>
      <c r="W75" s="4">
        <f t="shared" si="24"/>
        <v>0</v>
      </c>
      <c r="X75" s="4">
        <f t="shared" si="25"/>
        <v>0</v>
      </c>
      <c r="Y75" s="4">
        <f t="shared" si="26"/>
        <v>0</v>
      </c>
    </row>
    <row r="76" spans="1:25" ht="27" hidden="1" customHeight="1" x14ac:dyDescent="0.15">
      <c r="A76" s="1">
        <v>74</v>
      </c>
      <c r="B76" s="1" t="s">
        <v>215</v>
      </c>
      <c r="C76" s="1">
        <v>60</v>
      </c>
      <c r="G76" s="96" t="str">
        <f t="shared" si="14"/>
        <v>XF60</v>
      </c>
      <c r="H76" s="2" t="s">
        <v>67</v>
      </c>
      <c r="I76" s="68"/>
      <c r="K76" s="1" t="s">
        <v>162</v>
      </c>
      <c r="L76" s="1">
        <f t="shared" si="15"/>
        <v>199</v>
      </c>
      <c r="M76" s="1">
        <f t="shared" si="16"/>
        <v>178</v>
      </c>
      <c r="N76" s="1">
        <f t="shared" si="17"/>
        <v>64</v>
      </c>
      <c r="O76" s="97">
        <f t="shared" si="18"/>
        <v>0.2196078431372549</v>
      </c>
      <c r="P76" s="97">
        <f t="shared" si="18"/>
        <v>0.30196078431372547</v>
      </c>
      <c r="Q76" s="97">
        <f t="shared" si="18"/>
        <v>0.74901960784313726</v>
      </c>
      <c r="R76" s="4">
        <f t="shared" si="19"/>
        <v>0</v>
      </c>
      <c r="S76" s="4">
        <f t="shared" si="20"/>
        <v>0.10552763819095476</v>
      </c>
      <c r="T76" s="4">
        <f t="shared" si="21"/>
        <v>0.67839195979899503</v>
      </c>
      <c r="U76" s="4">
        <f t="shared" si="22"/>
        <v>0.2196078431372549</v>
      </c>
      <c r="V76" s="4">
        <f t="shared" si="23"/>
        <v>0</v>
      </c>
      <c r="W76" s="4">
        <f t="shared" si="24"/>
        <v>0</v>
      </c>
      <c r="X76" s="4">
        <f t="shared" si="25"/>
        <v>0</v>
      </c>
      <c r="Y76" s="4">
        <f t="shared" si="26"/>
        <v>0</v>
      </c>
    </row>
    <row r="77" spans="1:25" ht="27" hidden="1" customHeight="1" x14ac:dyDescent="0.15">
      <c r="A77" s="1">
        <v>75</v>
      </c>
      <c r="B77" s="1" t="s">
        <v>215</v>
      </c>
      <c r="C77" s="1">
        <v>61</v>
      </c>
      <c r="G77" s="96" t="str">
        <f t="shared" si="14"/>
        <v>XF61</v>
      </c>
      <c r="H77" s="2" t="s">
        <v>68</v>
      </c>
      <c r="I77" s="55"/>
      <c r="K77" s="1" t="s">
        <v>150</v>
      </c>
      <c r="L77" s="1">
        <f t="shared" si="15"/>
        <v>0</v>
      </c>
      <c r="M77" s="1">
        <f t="shared" si="16"/>
        <v>71</v>
      </c>
      <c r="N77" s="1">
        <f t="shared" si="17"/>
        <v>49</v>
      </c>
      <c r="O77" s="97">
        <f t="shared" si="18"/>
        <v>1</v>
      </c>
      <c r="P77" s="97">
        <f t="shared" si="18"/>
        <v>0.72156862745098038</v>
      </c>
      <c r="Q77" s="97">
        <f t="shared" si="18"/>
        <v>0.80784313725490198</v>
      </c>
      <c r="R77" s="4">
        <f t="shared" si="19"/>
        <v>1</v>
      </c>
      <c r="S77" s="4">
        <f t="shared" si="20"/>
        <v>0</v>
      </c>
      <c r="T77" s="4">
        <f t="shared" si="21"/>
        <v>0.30985915492957755</v>
      </c>
      <c r="U77" s="4">
        <f t="shared" si="22"/>
        <v>0.72156862745098038</v>
      </c>
      <c r="V77" s="4">
        <f t="shared" si="23"/>
        <v>0</v>
      </c>
      <c r="W77" s="4">
        <f t="shared" si="24"/>
        <v>0</v>
      </c>
      <c r="X77" s="4">
        <f t="shared" si="25"/>
        <v>0</v>
      </c>
      <c r="Y77" s="4">
        <f t="shared" si="26"/>
        <v>0</v>
      </c>
    </row>
    <row r="78" spans="1:25" ht="27" hidden="1" customHeight="1" x14ac:dyDescent="0.15">
      <c r="A78" s="1">
        <v>76</v>
      </c>
      <c r="B78" s="1" t="s">
        <v>215</v>
      </c>
      <c r="C78" s="1">
        <v>62</v>
      </c>
      <c r="G78" s="96" t="str">
        <f t="shared" si="14"/>
        <v>XF62</v>
      </c>
      <c r="H78" s="2" t="s">
        <v>69</v>
      </c>
      <c r="I78" s="69"/>
      <c r="K78" s="1" t="s">
        <v>163</v>
      </c>
      <c r="L78" s="1">
        <f t="shared" si="15"/>
        <v>72</v>
      </c>
      <c r="M78" s="1">
        <f t="shared" si="16"/>
        <v>90</v>
      </c>
      <c r="N78" s="1">
        <f t="shared" si="17"/>
        <v>60</v>
      </c>
      <c r="O78" s="97">
        <f t="shared" si="18"/>
        <v>0.71764705882352942</v>
      </c>
      <c r="P78" s="97">
        <f t="shared" si="18"/>
        <v>0.6470588235294118</v>
      </c>
      <c r="Q78" s="97">
        <f t="shared" si="18"/>
        <v>0.76470588235294112</v>
      </c>
      <c r="R78" s="4">
        <f t="shared" si="19"/>
        <v>0.19999999999999993</v>
      </c>
      <c r="S78" s="4">
        <f t="shared" si="20"/>
        <v>0</v>
      </c>
      <c r="T78" s="4">
        <f t="shared" si="21"/>
        <v>0.33333333333333315</v>
      </c>
      <c r="U78" s="4">
        <f t="shared" si="22"/>
        <v>0.6470588235294118</v>
      </c>
      <c r="V78" s="4">
        <f t="shared" si="23"/>
        <v>0</v>
      </c>
      <c r="W78" s="4">
        <f t="shared" si="24"/>
        <v>0</v>
      </c>
      <c r="X78" s="4">
        <f t="shared" si="25"/>
        <v>0</v>
      </c>
      <c r="Y78" s="4">
        <f t="shared" si="26"/>
        <v>0</v>
      </c>
    </row>
    <row r="79" spans="1:25" ht="27" customHeight="1" x14ac:dyDescent="0.15">
      <c r="A79" s="1">
        <v>77</v>
      </c>
      <c r="B79" s="1" t="s">
        <v>215</v>
      </c>
      <c r="C79" s="1">
        <v>63</v>
      </c>
      <c r="F79" s="1" t="s">
        <v>231</v>
      </c>
      <c r="G79" s="96" t="str">
        <f t="shared" si="14"/>
        <v>XF63</v>
      </c>
      <c r="H79" s="2" t="s">
        <v>70</v>
      </c>
      <c r="I79" s="70"/>
      <c r="J79" s="98">
        <v>1</v>
      </c>
      <c r="K79" s="1" t="s">
        <v>164</v>
      </c>
      <c r="L79" s="1">
        <f t="shared" si="15"/>
        <v>67</v>
      </c>
      <c r="M79" s="1">
        <f t="shared" si="16"/>
        <v>103</v>
      </c>
      <c r="N79" s="1">
        <f t="shared" si="17"/>
        <v>119</v>
      </c>
      <c r="O79" s="97">
        <f t="shared" si="18"/>
        <v>0.73725490196078436</v>
      </c>
      <c r="P79" s="97">
        <f t="shared" si="18"/>
        <v>0.59607843137254901</v>
      </c>
      <c r="Q79" s="97">
        <f t="shared" si="18"/>
        <v>0.53333333333333333</v>
      </c>
      <c r="R79" s="4">
        <f t="shared" si="19"/>
        <v>0.4369747899159665</v>
      </c>
      <c r="S79" s="4">
        <f t="shared" si="20"/>
        <v>0.13445378151260504</v>
      </c>
      <c r="T79" s="4">
        <f t="shared" si="21"/>
        <v>0</v>
      </c>
      <c r="U79" s="4">
        <f t="shared" si="22"/>
        <v>0.53333333333333333</v>
      </c>
      <c r="V79" s="4">
        <f t="shared" si="23"/>
        <v>0.4369747899159665</v>
      </c>
      <c r="W79" s="4">
        <f t="shared" si="24"/>
        <v>0.13445378151260504</v>
      </c>
      <c r="X79" s="4">
        <f t="shared" si="25"/>
        <v>0</v>
      </c>
      <c r="Y79" s="4">
        <f t="shared" si="26"/>
        <v>0.53333333333333333</v>
      </c>
    </row>
    <row r="80" spans="1:25" ht="27" hidden="1" customHeight="1" x14ac:dyDescent="0.15">
      <c r="A80" s="1">
        <v>78</v>
      </c>
      <c r="B80" s="1" t="s">
        <v>215</v>
      </c>
      <c r="C80" s="1">
        <v>64</v>
      </c>
      <c r="G80" s="96" t="str">
        <f t="shared" si="14"/>
        <v>XF64</v>
      </c>
      <c r="H80" s="2" t="s">
        <v>71</v>
      </c>
      <c r="I80" s="71"/>
      <c r="K80" s="1" t="s">
        <v>165</v>
      </c>
      <c r="L80" s="1">
        <f t="shared" si="15"/>
        <v>80</v>
      </c>
      <c r="M80" s="1">
        <f t="shared" si="16"/>
        <v>57</v>
      </c>
      <c r="N80" s="1">
        <f t="shared" si="17"/>
        <v>40</v>
      </c>
      <c r="O80" s="97">
        <f t="shared" si="18"/>
        <v>0.68627450980392157</v>
      </c>
      <c r="P80" s="97">
        <f t="shared" si="18"/>
        <v>0.77647058823529413</v>
      </c>
      <c r="Q80" s="97">
        <f t="shared" si="18"/>
        <v>0.84313725490196079</v>
      </c>
      <c r="R80" s="4">
        <f t="shared" si="19"/>
        <v>0</v>
      </c>
      <c r="S80" s="4">
        <f t="shared" si="20"/>
        <v>0.28750000000000003</v>
      </c>
      <c r="T80" s="4">
        <f t="shared" si="21"/>
        <v>0.5</v>
      </c>
      <c r="U80" s="4">
        <f t="shared" si="22"/>
        <v>0.68627450980392157</v>
      </c>
      <c r="V80" s="4">
        <f t="shared" si="23"/>
        <v>0</v>
      </c>
      <c r="W80" s="4">
        <f t="shared" si="24"/>
        <v>0</v>
      </c>
      <c r="X80" s="4">
        <f t="shared" si="25"/>
        <v>0</v>
      </c>
      <c r="Y80" s="4">
        <f t="shared" si="26"/>
        <v>0</v>
      </c>
    </row>
    <row r="81" spans="1:25" ht="27" hidden="1" customHeight="1" x14ac:dyDescent="0.15">
      <c r="A81" s="1">
        <v>79</v>
      </c>
      <c r="B81" s="1" t="s">
        <v>215</v>
      </c>
      <c r="C81" s="1">
        <v>65</v>
      </c>
      <c r="G81" s="96" t="str">
        <f t="shared" si="14"/>
        <v>XF65</v>
      </c>
      <c r="H81" s="2" t="s">
        <v>72</v>
      </c>
      <c r="I81" s="72"/>
      <c r="K81" s="1" t="s">
        <v>166</v>
      </c>
      <c r="L81" s="1">
        <f t="shared" si="15"/>
        <v>62</v>
      </c>
      <c r="M81" s="1">
        <f t="shared" si="16"/>
        <v>107</v>
      </c>
      <c r="N81" s="1">
        <f t="shared" si="17"/>
        <v>118</v>
      </c>
      <c r="O81" s="97">
        <f t="shared" si="18"/>
        <v>0.75686274509803919</v>
      </c>
      <c r="P81" s="97">
        <f t="shared" si="18"/>
        <v>0.58039215686274515</v>
      </c>
      <c r="Q81" s="97">
        <f t="shared" si="18"/>
        <v>0.53725490196078429</v>
      </c>
      <c r="R81" s="4">
        <f t="shared" si="19"/>
        <v>0.47457627118644063</v>
      </c>
      <c r="S81" s="4">
        <f t="shared" si="20"/>
        <v>9.3220338983050988E-2</v>
      </c>
      <c r="T81" s="4">
        <f t="shared" si="21"/>
        <v>0</v>
      </c>
      <c r="U81" s="4">
        <f t="shared" si="22"/>
        <v>0.53725490196078429</v>
      </c>
      <c r="V81" s="4">
        <f t="shared" si="23"/>
        <v>0</v>
      </c>
      <c r="W81" s="4">
        <f t="shared" si="24"/>
        <v>0</v>
      </c>
      <c r="X81" s="4">
        <f t="shared" si="25"/>
        <v>0</v>
      </c>
      <c r="Y81" s="4">
        <f t="shared" si="26"/>
        <v>0</v>
      </c>
    </row>
    <row r="82" spans="1:25" ht="27" hidden="1" customHeight="1" x14ac:dyDescent="0.15">
      <c r="A82" s="1">
        <v>80</v>
      </c>
      <c r="B82" s="1" t="s">
        <v>215</v>
      </c>
      <c r="C82" s="1">
        <v>66</v>
      </c>
      <c r="G82" s="96" t="str">
        <f t="shared" si="14"/>
        <v>XF66</v>
      </c>
      <c r="H82" s="2" t="s">
        <v>73</v>
      </c>
      <c r="I82" s="73"/>
      <c r="K82" s="1" t="s">
        <v>167</v>
      </c>
      <c r="L82" s="1">
        <f t="shared" si="15"/>
        <v>80</v>
      </c>
      <c r="M82" s="1">
        <f t="shared" si="16"/>
        <v>105</v>
      </c>
      <c r="N82" s="1">
        <f t="shared" si="17"/>
        <v>118</v>
      </c>
      <c r="O82" s="97">
        <f t="shared" si="18"/>
        <v>0.68627450980392157</v>
      </c>
      <c r="P82" s="97">
        <f t="shared" si="18"/>
        <v>0.58823529411764708</v>
      </c>
      <c r="Q82" s="97">
        <f t="shared" si="18"/>
        <v>0.53725490196078429</v>
      </c>
      <c r="R82" s="4">
        <f t="shared" si="19"/>
        <v>0.32203389830508478</v>
      </c>
      <c r="S82" s="4">
        <f t="shared" si="20"/>
        <v>0.11016949152542381</v>
      </c>
      <c r="T82" s="4">
        <f t="shared" si="21"/>
        <v>0</v>
      </c>
      <c r="U82" s="4">
        <f t="shared" si="22"/>
        <v>0.53725490196078429</v>
      </c>
      <c r="V82" s="4">
        <f t="shared" si="23"/>
        <v>0</v>
      </c>
      <c r="W82" s="4">
        <f t="shared" si="24"/>
        <v>0</v>
      </c>
      <c r="X82" s="4">
        <f t="shared" si="25"/>
        <v>0</v>
      </c>
      <c r="Y82" s="4">
        <f t="shared" si="26"/>
        <v>0</v>
      </c>
    </row>
    <row r="83" spans="1:25" ht="27" hidden="1" customHeight="1" x14ac:dyDescent="0.15">
      <c r="A83" s="1">
        <v>81</v>
      </c>
      <c r="B83" s="1" t="s">
        <v>215</v>
      </c>
      <c r="C83" s="1">
        <v>67</v>
      </c>
      <c r="G83" s="96" t="str">
        <f t="shared" si="14"/>
        <v>XF67</v>
      </c>
      <c r="H83" s="2" t="s">
        <v>74</v>
      </c>
      <c r="I83" s="74"/>
      <c r="K83" s="1" t="s">
        <v>169</v>
      </c>
      <c r="L83" s="1">
        <f t="shared" si="15"/>
        <v>41</v>
      </c>
      <c r="M83" s="1">
        <f t="shared" si="16"/>
        <v>85</v>
      </c>
      <c r="N83" s="1">
        <f t="shared" si="17"/>
        <v>56</v>
      </c>
      <c r="O83" s="97">
        <f t="shared" si="18"/>
        <v>0.83921568627450982</v>
      </c>
      <c r="P83" s="97">
        <f t="shared" si="18"/>
        <v>0.66666666666666663</v>
      </c>
      <c r="Q83" s="97">
        <f t="shared" si="18"/>
        <v>0.7803921568627451</v>
      </c>
      <c r="R83" s="4">
        <f t="shared" si="19"/>
        <v>0.51764705882352946</v>
      </c>
      <c r="S83" s="4">
        <f t="shared" si="20"/>
        <v>0</v>
      </c>
      <c r="T83" s="4">
        <f t="shared" si="21"/>
        <v>0.34117647058823536</v>
      </c>
      <c r="U83" s="4">
        <f t="shared" si="22"/>
        <v>0.66666666666666663</v>
      </c>
      <c r="V83" s="4">
        <f t="shared" si="23"/>
        <v>0</v>
      </c>
      <c r="W83" s="4">
        <f t="shared" si="24"/>
        <v>0</v>
      </c>
      <c r="X83" s="4">
        <f t="shared" si="25"/>
        <v>0</v>
      </c>
      <c r="Y83" s="4">
        <f t="shared" si="26"/>
        <v>0</v>
      </c>
    </row>
    <row r="84" spans="1:25" ht="27" hidden="1" customHeight="1" x14ac:dyDescent="0.15">
      <c r="A84" s="1">
        <v>82</v>
      </c>
      <c r="B84" s="1" t="s">
        <v>215</v>
      </c>
      <c r="C84" s="1">
        <v>68</v>
      </c>
      <c r="G84" s="96" t="str">
        <f t="shared" si="14"/>
        <v>XF68</v>
      </c>
      <c r="H84" s="2" t="s">
        <v>76</v>
      </c>
      <c r="I84" s="75"/>
      <c r="K84" s="1" t="s">
        <v>168</v>
      </c>
      <c r="L84" s="1">
        <f t="shared" si="15"/>
        <v>106</v>
      </c>
      <c r="M84" s="1">
        <f t="shared" si="16"/>
        <v>75</v>
      </c>
      <c r="N84" s="1">
        <f t="shared" si="17"/>
        <v>49</v>
      </c>
      <c r="O84" s="97">
        <f t="shared" si="18"/>
        <v>0.58431372549019611</v>
      </c>
      <c r="P84" s="97">
        <f t="shared" si="18"/>
        <v>0.70588235294117652</v>
      </c>
      <c r="Q84" s="97">
        <f t="shared" si="18"/>
        <v>0.80784313725490198</v>
      </c>
      <c r="R84" s="4">
        <f t="shared" si="19"/>
        <v>0</v>
      </c>
      <c r="S84" s="4">
        <f t="shared" si="20"/>
        <v>0.29245283018867929</v>
      </c>
      <c r="T84" s="4">
        <f t="shared" si="21"/>
        <v>0.53773584905660377</v>
      </c>
      <c r="U84" s="4">
        <f t="shared" si="22"/>
        <v>0.58431372549019611</v>
      </c>
      <c r="V84" s="4">
        <f t="shared" si="23"/>
        <v>0</v>
      </c>
      <c r="W84" s="4">
        <f t="shared" si="24"/>
        <v>0</v>
      </c>
      <c r="X84" s="4">
        <f t="shared" si="25"/>
        <v>0</v>
      </c>
      <c r="Y84" s="4">
        <f t="shared" si="26"/>
        <v>0</v>
      </c>
    </row>
    <row r="85" spans="1:25" ht="27" hidden="1" customHeight="1" x14ac:dyDescent="0.15">
      <c r="A85" s="1">
        <v>83</v>
      </c>
      <c r="B85" s="1" t="s">
        <v>215</v>
      </c>
      <c r="C85" s="1">
        <v>69</v>
      </c>
      <c r="G85" s="96" t="str">
        <f t="shared" si="14"/>
        <v>XF69</v>
      </c>
      <c r="H85" s="2" t="s">
        <v>75</v>
      </c>
      <c r="I85" s="3"/>
      <c r="K85" s="1" t="s">
        <v>100</v>
      </c>
      <c r="L85" s="1">
        <f t="shared" si="15"/>
        <v>35</v>
      </c>
      <c r="M85" s="1">
        <f t="shared" si="16"/>
        <v>25</v>
      </c>
      <c r="N85" s="1">
        <f t="shared" si="17"/>
        <v>22</v>
      </c>
      <c r="O85" s="97">
        <f t="shared" si="18"/>
        <v>0.86274509803921573</v>
      </c>
      <c r="P85" s="97">
        <f t="shared" si="18"/>
        <v>0.90196078431372551</v>
      </c>
      <c r="Q85" s="97">
        <f t="shared" si="18"/>
        <v>0.9137254901960784</v>
      </c>
      <c r="R85" s="4">
        <f t="shared" si="19"/>
        <v>0</v>
      </c>
      <c r="S85" s="4">
        <f t="shared" si="20"/>
        <v>0.28571428571428559</v>
      </c>
      <c r="T85" s="4">
        <f t="shared" si="21"/>
        <v>0.37142857142857105</v>
      </c>
      <c r="U85" s="4">
        <f t="shared" si="22"/>
        <v>0.86274509803921573</v>
      </c>
      <c r="V85" s="4">
        <f t="shared" si="23"/>
        <v>0</v>
      </c>
      <c r="W85" s="4">
        <f t="shared" si="24"/>
        <v>0</v>
      </c>
      <c r="X85" s="4">
        <f t="shared" si="25"/>
        <v>0</v>
      </c>
      <c r="Y85" s="4">
        <f t="shared" si="26"/>
        <v>0</v>
      </c>
    </row>
    <row r="86" spans="1:25" ht="27" hidden="1" customHeight="1" x14ac:dyDescent="0.15">
      <c r="A86" s="1">
        <v>84</v>
      </c>
      <c r="B86" s="1" t="s">
        <v>215</v>
      </c>
      <c r="C86" s="1">
        <v>70</v>
      </c>
      <c r="G86" s="96" t="str">
        <f t="shared" si="14"/>
        <v>XF70</v>
      </c>
      <c r="H86" s="2" t="s">
        <v>77</v>
      </c>
      <c r="I86" s="76"/>
      <c r="K86" s="1" t="s">
        <v>170</v>
      </c>
      <c r="L86" s="1">
        <f t="shared" si="15"/>
        <v>6</v>
      </c>
      <c r="M86" s="1">
        <f t="shared" si="16"/>
        <v>66</v>
      </c>
      <c r="N86" s="1">
        <f t="shared" si="17"/>
        <v>52</v>
      </c>
      <c r="O86" s="97">
        <f t="shared" si="18"/>
        <v>0.97647058823529409</v>
      </c>
      <c r="P86" s="97">
        <f t="shared" si="18"/>
        <v>0.74117647058823533</v>
      </c>
      <c r="Q86" s="97">
        <f t="shared" si="18"/>
        <v>0.79607843137254897</v>
      </c>
      <c r="R86" s="4">
        <f t="shared" si="19"/>
        <v>0.90909090909090895</v>
      </c>
      <c r="S86" s="4">
        <f t="shared" si="20"/>
        <v>0</v>
      </c>
      <c r="T86" s="4">
        <f t="shared" si="21"/>
        <v>0.21212121212121182</v>
      </c>
      <c r="U86" s="4">
        <f t="shared" si="22"/>
        <v>0.74117647058823533</v>
      </c>
      <c r="V86" s="4">
        <f t="shared" si="23"/>
        <v>0</v>
      </c>
      <c r="W86" s="4">
        <f t="shared" si="24"/>
        <v>0</v>
      </c>
      <c r="X86" s="4">
        <f t="shared" si="25"/>
        <v>0</v>
      </c>
      <c r="Y86" s="4">
        <f t="shared" si="26"/>
        <v>0</v>
      </c>
    </row>
    <row r="87" spans="1:25" ht="27" hidden="1" customHeight="1" x14ac:dyDescent="0.15">
      <c r="A87" s="1">
        <v>85</v>
      </c>
      <c r="B87" s="1" t="s">
        <v>215</v>
      </c>
      <c r="C87" s="1">
        <v>71</v>
      </c>
      <c r="G87" s="96" t="str">
        <f t="shared" si="14"/>
        <v>XF71</v>
      </c>
      <c r="H87" s="2" t="s">
        <v>78</v>
      </c>
      <c r="I87" s="77"/>
      <c r="K87" s="1" t="s">
        <v>171</v>
      </c>
      <c r="L87" s="1">
        <f t="shared" si="15"/>
        <v>117</v>
      </c>
      <c r="M87" s="1">
        <f t="shared" si="16"/>
        <v>152</v>
      </c>
      <c r="N87" s="1">
        <f t="shared" si="17"/>
        <v>117</v>
      </c>
      <c r="O87" s="97">
        <f t="shared" si="18"/>
        <v>0.54117647058823526</v>
      </c>
      <c r="P87" s="97">
        <f t="shared" si="18"/>
        <v>0.40392156862745099</v>
      </c>
      <c r="Q87" s="97">
        <f t="shared" si="18"/>
        <v>0.54117647058823526</v>
      </c>
      <c r="R87" s="4">
        <f t="shared" si="19"/>
        <v>0.23026315789473678</v>
      </c>
      <c r="S87" s="4">
        <f t="shared" si="20"/>
        <v>0</v>
      </c>
      <c r="T87" s="4">
        <f t="shared" si="21"/>
        <v>0.23026315789473678</v>
      </c>
      <c r="U87" s="4">
        <f t="shared" si="22"/>
        <v>0.40392156862745099</v>
      </c>
      <c r="V87" s="4">
        <f t="shared" si="23"/>
        <v>0</v>
      </c>
      <c r="W87" s="4">
        <f t="shared" si="24"/>
        <v>0</v>
      </c>
      <c r="X87" s="4">
        <f t="shared" si="25"/>
        <v>0</v>
      </c>
      <c r="Y87" s="4">
        <f t="shared" si="26"/>
        <v>0</v>
      </c>
    </row>
    <row r="88" spans="1:25" ht="27" hidden="1" customHeight="1" x14ac:dyDescent="0.15">
      <c r="A88" s="1">
        <v>86</v>
      </c>
      <c r="B88" s="1" t="s">
        <v>215</v>
      </c>
      <c r="C88" s="1">
        <v>72</v>
      </c>
      <c r="G88" s="96" t="str">
        <f t="shared" si="14"/>
        <v>XF72</v>
      </c>
      <c r="H88" s="2" t="s">
        <v>79</v>
      </c>
      <c r="I88" s="78"/>
      <c r="K88" s="1" t="s">
        <v>172</v>
      </c>
      <c r="L88" s="1">
        <f t="shared" si="15"/>
        <v>127</v>
      </c>
      <c r="M88" s="1">
        <f t="shared" si="16"/>
        <v>92</v>
      </c>
      <c r="N88" s="1">
        <f t="shared" si="17"/>
        <v>46</v>
      </c>
      <c r="O88" s="97">
        <f t="shared" si="18"/>
        <v>0.50196078431372548</v>
      </c>
      <c r="P88" s="97">
        <f t="shared" si="18"/>
        <v>0.63921568627450975</v>
      </c>
      <c r="Q88" s="97">
        <f t="shared" si="18"/>
        <v>0.81960784313725488</v>
      </c>
      <c r="R88" s="4">
        <f t="shared" si="19"/>
        <v>0</v>
      </c>
      <c r="S88" s="4">
        <f t="shared" si="20"/>
        <v>0.27559055118110226</v>
      </c>
      <c r="T88" s="4">
        <f t="shared" si="21"/>
        <v>0.63779527559055116</v>
      </c>
      <c r="U88" s="4">
        <f t="shared" si="22"/>
        <v>0.50196078431372548</v>
      </c>
      <c r="V88" s="4">
        <f t="shared" si="23"/>
        <v>0</v>
      </c>
      <c r="W88" s="4">
        <f t="shared" si="24"/>
        <v>0</v>
      </c>
      <c r="X88" s="4">
        <f t="shared" si="25"/>
        <v>0</v>
      </c>
      <c r="Y88" s="4">
        <f t="shared" si="26"/>
        <v>0</v>
      </c>
    </row>
    <row r="89" spans="1:25" ht="27" hidden="1" customHeight="1" x14ac:dyDescent="0.15">
      <c r="A89" s="1">
        <v>87</v>
      </c>
      <c r="B89" s="1" t="s">
        <v>215</v>
      </c>
      <c r="C89" s="1">
        <v>73</v>
      </c>
      <c r="G89" s="96" t="str">
        <f t="shared" si="14"/>
        <v>XF73</v>
      </c>
      <c r="H89" s="2" t="s">
        <v>80</v>
      </c>
      <c r="I89" s="79"/>
      <c r="K89" s="1" t="s">
        <v>173</v>
      </c>
      <c r="L89" s="1">
        <f t="shared" si="15"/>
        <v>33</v>
      </c>
      <c r="M89" s="1">
        <f t="shared" si="16"/>
        <v>96</v>
      </c>
      <c r="N89" s="1">
        <f t="shared" si="17"/>
        <v>58</v>
      </c>
      <c r="O89" s="97">
        <f t="shared" si="18"/>
        <v>0.87058823529411766</v>
      </c>
      <c r="P89" s="97">
        <f t="shared" si="18"/>
        <v>0.62352941176470589</v>
      </c>
      <c r="Q89" s="97">
        <f t="shared" si="18"/>
        <v>0.77254901960784317</v>
      </c>
      <c r="R89" s="4">
        <f t="shared" si="19"/>
        <v>0.65625</v>
      </c>
      <c r="S89" s="4">
        <f t="shared" si="20"/>
        <v>0</v>
      </c>
      <c r="T89" s="4">
        <f t="shared" si="21"/>
        <v>0.39583333333333343</v>
      </c>
      <c r="U89" s="4">
        <f t="shared" si="22"/>
        <v>0.62352941176470589</v>
      </c>
      <c r="V89" s="4">
        <f t="shared" si="23"/>
        <v>0</v>
      </c>
      <c r="W89" s="4">
        <f t="shared" si="24"/>
        <v>0</v>
      </c>
      <c r="X89" s="4">
        <f t="shared" si="25"/>
        <v>0</v>
      </c>
      <c r="Y89" s="4">
        <f t="shared" si="26"/>
        <v>0</v>
      </c>
    </row>
    <row r="90" spans="1:25" ht="27" hidden="1" customHeight="1" x14ac:dyDescent="0.15">
      <c r="A90" s="1">
        <v>88</v>
      </c>
      <c r="B90" s="1" t="s">
        <v>215</v>
      </c>
      <c r="C90" s="1">
        <v>74</v>
      </c>
      <c r="G90" s="96" t="str">
        <f t="shared" si="14"/>
        <v>XF74</v>
      </c>
      <c r="H90" s="2" t="s">
        <v>81</v>
      </c>
      <c r="I90" s="74"/>
      <c r="K90" s="1" t="s">
        <v>169</v>
      </c>
      <c r="L90" s="1">
        <f t="shared" si="15"/>
        <v>41</v>
      </c>
      <c r="M90" s="1">
        <f t="shared" si="16"/>
        <v>85</v>
      </c>
      <c r="N90" s="1">
        <f t="shared" si="17"/>
        <v>56</v>
      </c>
      <c r="O90" s="97">
        <f t="shared" si="18"/>
        <v>0.83921568627450982</v>
      </c>
      <c r="P90" s="97">
        <f t="shared" si="18"/>
        <v>0.66666666666666663</v>
      </c>
      <c r="Q90" s="97">
        <f t="shared" si="18"/>
        <v>0.7803921568627451</v>
      </c>
      <c r="R90" s="4">
        <f t="shared" si="19"/>
        <v>0.51764705882352946</v>
      </c>
      <c r="S90" s="4">
        <f t="shared" si="20"/>
        <v>0</v>
      </c>
      <c r="T90" s="4">
        <f t="shared" si="21"/>
        <v>0.34117647058823536</v>
      </c>
      <c r="U90" s="4">
        <f t="shared" si="22"/>
        <v>0.66666666666666663</v>
      </c>
      <c r="V90" s="4">
        <f t="shared" si="23"/>
        <v>0</v>
      </c>
      <c r="W90" s="4">
        <f t="shared" si="24"/>
        <v>0</v>
      </c>
      <c r="X90" s="4">
        <f t="shared" si="25"/>
        <v>0</v>
      </c>
      <c r="Y90" s="4">
        <f t="shared" si="26"/>
        <v>0</v>
      </c>
    </row>
    <row r="91" spans="1:25" ht="27" hidden="1" customHeight="1" x14ac:dyDescent="0.15">
      <c r="A91" s="1">
        <v>89</v>
      </c>
      <c r="B91" s="1" t="s">
        <v>215</v>
      </c>
      <c r="C91" s="1">
        <v>75</v>
      </c>
      <c r="G91" s="96" t="str">
        <f t="shared" si="14"/>
        <v>XF75</v>
      </c>
      <c r="H91" s="2" t="s">
        <v>82</v>
      </c>
      <c r="I91" s="80"/>
      <c r="K91" s="1" t="s">
        <v>174</v>
      </c>
      <c r="L91" s="1">
        <f t="shared" si="15"/>
        <v>113</v>
      </c>
      <c r="M91" s="1">
        <f t="shared" si="16"/>
        <v>123</v>
      </c>
      <c r="N91" s="1">
        <f t="shared" si="17"/>
        <v>133</v>
      </c>
      <c r="O91" s="97">
        <f t="shared" si="18"/>
        <v>0.55686274509803924</v>
      </c>
      <c r="P91" s="97">
        <f t="shared" si="18"/>
        <v>0.51764705882352946</v>
      </c>
      <c r="Q91" s="97">
        <f t="shared" si="18"/>
        <v>0.47843137254901963</v>
      </c>
      <c r="R91" s="4">
        <f t="shared" si="19"/>
        <v>0.15037593984962408</v>
      </c>
      <c r="S91" s="4">
        <f t="shared" si="20"/>
        <v>7.5187969924812095E-2</v>
      </c>
      <c r="T91" s="4">
        <f t="shared" si="21"/>
        <v>0</v>
      </c>
      <c r="U91" s="4">
        <f t="shared" si="22"/>
        <v>0.47843137254901963</v>
      </c>
      <c r="V91" s="4">
        <f t="shared" si="23"/>
        <v>0</v>
      </c>
      <c r="W91" s="4">
        <f t="shared" si="24"/>
        <v>0</v>
      </c>
      <c r="X91" s="4">
        <f t="shared" si="25"/>
        <v>0</v>
      </c>
      <c r="Y91" s="4">
        <f t="shared" si="26"/>
        <v>0</v>
      </c>
    </row>
    <row r="92" spans="1:25" ht="27" hidden="1" customHeight="1" x14ac:dyDescent="0.15">
      <c r="A92" s="1">
        <v>90</v>
      </c>
      <c r="B92" s="1" t="s">
        <v>215</v>
      </c>
      <c r="C92" s="1">
        <v>76</v>
      </c>
      <c r="G92" s="96" t="str">
        <f t="shared" si="14"/>
        <v>XF76</v>
      </c>
      <c r="H92" s="2" t="s">
        <v>83</v>
      </c>
      <c r="I92" s="81"/>
      <c r="K92" s="1" t="s">
        <v>175</v>
      </c>
      <c r="L92" s="1">
        <f t="shared" si="15"/>
        <v>185</v>
      </c>
      <c r="M92" s="1">
        <f t="shared" si="16"/>
        <v>195</v>
      </c>
      <c r="N92" s="1">
        <f t="shared" si="17"/>
        <v>167</v>
      </c>
      <c r="O92" s="97">
        <f t="shared" si="18"/>
        <v>0.27450980392156865</v>
      </c>
      <c r="P92" s="97">
        <f t="shared" si="18"/>
        <v>0.23529411764705882</v>
      </c>
      <c r="Q92" s="97">
        <f t="shared" si="18"/>
        <v>0.34509803921568627</v>
      </c>
      <c r="R92" s="4">
        <f t="shared" si="19"/>
        <v>5.1282051282051322E-2</v>
      </c>
      <c r="S92" s="4">
        <f t="shared" si="20"/>
        <v>0</v>
      </c>
      <c r="T92" s="4">
        <f t="shared" si="21"/>
        <v>0.14358974358974361</v>
      </c>
      <c r="U92" s="4">
        <f t="shared" si="22"/>
        <v>0.23529411764705882</v>
      </c>
      <c r="V92" s="4">
        <f t="shared" si="23"/>
        <v>0</v>
      </c>
      <c r="W92" s="4">
        <f t="shared" si="24"/>
        <v>0</v>
      </c>
      <c r="X92" s="4">
        <f t="shared" si="25"/>
        <v>0</v>
      </c>
      <c r="Y92" s="4">
        <f t="shared" si="26"/>
        <v>0</v>
      </c>
    </row>
    <row r="93" spans="1:25" ht="27" hidden="1" customHeight="1" x14ac:dyDescent="0.15">
      <c r="A93" s="1">
        <v>91</v>
      </c>
      <c r="B93" s="1" t="s">
        <v>215</v>
      </c>
      <c r="C93" s="1">
        <v>77</v>
      </c>
      <c r="G93" s="96" t="str">
        <f t="shared" si="14"/>
        <v>XF77</v>
      </c>
      <c r="H93" s="2" t="s">
        <v>84</v>
      </c>
      <c r="I93" s="82"/>
      <c r="K93" s="1" t="s">
        <v>176</v>
      </c>
      <c r="L93" s="1">
        <f t="shared" si="15"/>
        <v>83</v>
      </c>
      <c r="M93" s="1">
        <f t="shared" si="16"/>
        <v>87</v>
      </c>
      <c r="N93" s="1">
        <f t="shared" si="17"/>
        <v>96</v>
      </c>
      <c r="O93" s="97">
        <f t="shared" si="18"/>
        <v>0.67450980392156867</v>
      </c>
      <c r="P93" s="97">
        <f t="shared" si="18"/>
        <v>0.6588235294117647</v>
      </c>
      <c r="Q93" s="97">
        <f t="shared" si="18"/>
        <v>0.62352941176470589</v>
      </c>
      <c r="R93" s="4">
        <f t="shared" si="19"/>
        <v>0.13541666666666677</v>
      </c>
      <c r="S93" s="4">
        <f t="shared" si="20"/>
        <v>9.3749999999999958E-2</v>
      </c>
      <c r="T93" s="4">
        <f t="shared" si="21"/>
        <v>0</v>
      </c>
      <c r="U93" s="4">
        <f t="shared" si="22"/>
        <v>0.62352941176470589</v>
      </c>
      <c r="V93" s="4">
        <f t="shared" si="23"/>
        <v>0</v>
      </c>
      <c r="W93" s="4">
        <f t="shared" si="24"/>
        <v>0</v>
      </c>
      <c r="X93" s="4">
        <f t="shared" si="25"/>
        <v>0</v>
      </c>
      <c r="Y93" s="4">
        <f t="shared" si="26"/>
        <v>0</v>
      </c>
    </row>
    <row r="94" spans="1:25" ht="27" hidden="1" customHeight="1" x14ac:dyDescent="0.15">
      <c r="A94" s="1">
        <v>92</v>
      </c>
      <c r="B94" s="1" t="s">
        <v>215</v>
      </c>
      <c r="C94" s="1">
        <v>78</v>
      </c>
      <c r="G94" s="96" t="str">
        <f t="shared" si="14"/>
        <v>XF78</v>
      </c>
      <c r="H94" s="2" t="s">
        <v>88</v>
      </c>
      <c r="I94" s="83"/>
      <c r="K94" s="1" t="s">
        <v>177</v>
      </c>
      <c r="L94" s="1">
        <f t="shared" si="15"/>
        <v>190</v>
      </c>
      <c r="M94" s="1">
        <f t="shared" si="16"/>
        <v>175</v>
      </c>
      <c r="N94" s="1">
        <f t="shared" si="17"/>
        <v>133</v>
      </c>
      <c r="O94" s="97">
        <f t="shared" si="18"/>
        <v>0.25490196078431371</v>
      </c>
      <c r="P94" s="97">
        <f t="shared" si="18"/>
        <v>0.31372549019607843</v>
      </c>
      <c r="Q94" s="97">
        <f t="shared" si="18"/>
        <v>0.47843137254901963</v>
      </c>
      <c r="R94" s="4">
        <f t="shared" si="19"/>
        <v>0</v>
      </c>
      <c r="S94" s="4">
        <f t="shared" si="20"/>
        <v>7.8947368421052641E-2</v>
      </c>
      <c r="T94" s="4">
        <f t="shared" si="21"/>
        <v>0.30000000000000004</v>
      </c>
      <c r="U94" s="4">
        <f t="shared" si="22"/>
        <v>0.25490196078431371</v>
      </c>
      <c r="V94" s="4">
        <f t="shared" si="23"/>
        <v>0</v>
      </c>
      <c r="W94" s="4">
        <f t="shared" si="24"/>
        <v>0</v>
      </c>
      <c r="X94" s="4">
        <f t="shared" si="25"/>
        <v>0</v>
      </c>
      <c r="Y94" s="4">
        <f t="shared" si="26"/>
        <v>0</v>
      </c>
    </row>
    <row r="95" spans="1:25" ht="27" hidden="1" customHeight="1" x14ac:dyDescent="0.15">
      <c r="A95" s="1">
        <v>93</v>
      </c>
      <c r="B95" s="1" t="s">
        <v>215</v>
      </c>
      <c r="C95" s="1">
        <v>79</v>
      </c>
      <c r="G95" s="96" t="str">
        <f t="shared" si="14"/>
        <v>XF79</v>
      </c>
      <c r="H95" s="2" t="s">
        <v>89</v>
      </c>
      <c r="I95" s="84"/>
      <c r="K95" s="1" t="s">
        <v>178</v>
      </c>
      <c r="L95" s="1">
        <f t="shared" si="15"/>
        <v>93</v>
      </c>
      <c r="M95" s="1">
        <f t="shared" si="16"/>
        <v>74</v>
      </c>
      <c r="N95" s="1">
        <f t="shared" si="17"/>
        <v>51</v>
      </c>
      <c r="O95" s="97">
        <f t="shared" si="18"/>
        <v>0.63529411764705879</v>
      </c>
      <c r="P95" s="97">
        <f t="shared" si="18"/>
        <v>0.70980392156862748</v>
      </c>
      <c r="Q95" s="97">
        <f t="shared" si="18"/>
        <v>0.8</v>
      </c>
      <c r="R95" s="4">
        <f t="shared" si="19"/>
        <v>0</v>
      </c>
      <c r="S95" s="4">
        <f t="shared" si="20"/>
        <v>0.20430107526881738</v>
      </c>
      <c r="T95" s="4">
        <f t="shared" si="21"/>
        <v>0.45161290322580661</v>
      </c>
      <c r="U95" s="4">
        <f t="shared" si="22"/>
        <v>0.63529411764705879</v>
      </c>
      <c r="V95" s="4">
        <f t="shared" si="23"/>
        <v>0</v>
      </c>
      <c r="W95" s="4">
        <f t="shared" si="24"/>
        <v>0</v>
      </c>
      <c r="X95" s="4">
        <f t="shared" si="25"/>
        <v>0</v>
      </c>
      <c r="Y95" s="4">
        <f t="shared" si="26"/>
        <v>0</v>
      </c>
    </row>
    <row r="96" spans="1:25" ht="27" hidden="1" customHeight="1" x14ac:dyDescent="0.15">
      <c r="A96" s="1">
        <v>94</v>
      </c>
      <c r="B96" s="1" t="s">
        <v>215</v>
      </c>
      <c r="C96" s="1">
        <v>80</v>
      </c>
      <c r="G96" s="96" t="str">
        <f t="shared" si="14"/>
        <v>XF80</v>
      </c>
      <c r="H96" s="2" t="s">
        <v>85</v>
      </c>
      <c r="I96" s="85"/>
      <c r="K96" s="1" t="s">
        <v>179</v>
      </c>
      <c r="L96" s="1">
        <f t="shared" si="15"/>
        <v>193</v>
      </c>
      <c r="M96" s="1">
        <f t="shared" si="16"/>
        <v>202</v>
      </c>
      <c r="N96" s="1">
        <f t="shared" si="17"/>
        <v>200</v>
      </c>
      <c r="O96" s="97">
        <f t="shared" si="18"/>
        <v>0.24313725490196078</v>
      </c>
      <c r="P96" s="97">
        <f t="shared" si="18"/>
        <v>0.20784313725490197</v>
      </c>
      <c r="Q96" s="97">
        <f t="shared" si="18"/>
        <v>0.21568627450980393</v>
      </c>
      <c r="R96" s="4">
        <f t="shared" si="19"/>
        <v>4.4554455445544539E-2</v>
      </c>
      <c r="S96" s="4">
        <f t="shared" si="20"/>
        <v>0</v>
      </c>
      <c r="T96" s="4">
        <f t="shared" si="21"/>
        <v>9.9009900990099011E-3</v>
      </c>
      <c r="U96" s="4">
        <f t="shared" si="22"/>
        <v>0.20784313725490197</v>
      </c>
      <c r="V96" s="4">
        <f t="shared" si="23"/>
        <v>0</v>
      </c>
      <c r="W96" s="4">
        <f t="shared" si="24"/>
        <v>0</v>
      </c>
      <c r="X96" s="4">
        <f t="shared" si="25"/>
        <v>0</v>
      </c>
      <c r="Y96" s="4">
        <f t="shared" si="26"/>
        <v>0</v>
      </c>
    </row>
    <row r="97" spans="1:25" ht="27" hidden="1" customHeight="1" x14ac:dyDescent="0.15">
      <c r="A97" s="1">
        <v>95</v>
      </c>
      <c r="B97" s="1" t="s">
        <v>215</v>
      </c>
      <c r="C97" s="1">
        <v>81</v>
      </c>
      <c r="G97" s="96" t="str">
        <f t="shared" si="14"/>
        <v>XF81</v>
      </c>
      <c r="H97" s="2" t="s">
        <v>86</v>
      </c>
      <c r="I97" s="86"/>
      <c r="K97" s="1" t="s">
        <v>180</v>
      </c>
      <c r="L97" s="1">
        <f t="shared" si="15"/>
        <v>52</v>
      </c>
      <c r="M97" s="1">
        <f t="shared" si="16"/>
        <v>85</v>
      </c>
      <c r="N97" s="1">
        <f t="shared" si="17"/>
        <v>51</v>
      </c>
      <c r="O97" s="97">
        <f t="shared" si="18"/>
        <v>0.79607843137254897</v>
      </c>
      <c r="P97" s="97">
        <f t="shared" si="18"/>
        <v>0.66666666666666663</v>
      </c>
      <c r="Q97" s="97">
        <f t="shared" si="18"/>
        <v>0.8</v>
      </c>
      <c r="R97" s="4">
        <f t="shared" si="19"/>
        <v>0.38823529411764696</v>
      </c>
      <c r="S97" s="4">
        <f t="shared" si="20"/>
        <v>0</v>
      </c>
      <c r="T97" s="4">
        <f t="shared" si="21"/>
        <v>0.40000000000000019</v>
      </c>
      <c r="U97" s="4">
        <f t="shared" si="22"/>
        <v>0.66666666666666663</v>
      </c>
      <c r="V97" s="4">
        <f t="shared" si="23"/>
        <v>0</v>
      </c>
      <c r="W97" s="4">
        <f t="shared" si="24"/>
        <v>0</v>
      </c>
      <c r="X97" s="4">
        <f t="shared" si="25"/>
        <v>0</v>
      </c>
      <c r="Y97" s="4">
        <f t="shared" si="26"/>
        <v>0</v>
      </c>
    </row>
    <row r="98" spans="1:25" ht="27" hidden="1" customHeight="1" x14ac:dyDescent="0.15">
      <c r="A98" s="1">
        <v>96</v>
      </c>
      <c r="B98" s="1" t="s">
        <v>215</v>
      </c>
      <c r="C98" s="1">
        <v>82</v>
      </c>
      <c r="G98" s="96" t="str">
        <f t="shared" si="14"/>
        <v>XF82</v>
      </c>
      <c r="H98" s="2" t="s">
        <v>87</v>
      </c>
      <c r="I98" s="87"/>
      <c r="K98" s="1" t="s">
        <v>181</v>
      </c>
      <c r="L98" s="1">
        <f t="shared" si="15"/>
        <v>107</v>
      </c>
      <c r="M98" s="1">
        <f t="shared" si="16"/>
        <v>141</v>
      </c>
      <c r="N98" s="1">
        <f t="shared" si="17"/>
        <v>154</v>
      </c>
      <c r="O98" s="97">
        <f t="shared" si="18"/>
        <v>0.58039215686274515</v>
      </c>
      <c r="P98" s="97">
        <f t="shared" si="18"/>
        <v>0.44705882352941179</v>
      </c>
      <c r="Q98" s="97">
        <f t="shared" si="18"/>
        <v>0.396078431372549</v>
      </c>
      <c r="R98" s="4">
        <f t="shared" si="19"/>
        <v>0.30519480519480524</v>
      </c>
      <c r="S98" s="4">
        <f t="shared" si="20"/>
        <v>8.4415584415584471E-2</v>
      </c>
      <c r="T98" s="4">
        <f t="shared" si="21"/>
        <v>0</v>
      </c>
      <c r="U98" s="4">
        <f t="shared" si="22"/>
        <v>0.396078431372549</v>
      </c>
      <c r="V98" s="4">
        <f t="shared" si="23"/>
        <v>0</v>
      </c>
      <c r="W98" s="4">
        <f t="shared" si="24"/>
        <v>0</v>
      </c>
      <c r="X98" s="4">
        <f t="shared" si="25"/>
        <v>0</v>
      </c>
      <c r="Y98" s="4">
        <f t="shared" si="26"/>
        <v>0</v>
      </c>
    </row>
    <row r="99" spans="1:25" ht="27" hidden="1" customHeight="1" x14ac:dyDescent="0.15">
      <c r="A99" s="1">
        <v>97</v>
      </c>
      <c r="B99" s="1" t="s">
        <v>215</v>
      </c>
      <c r="C99" s="1">
        <v>83</v>
      </c>
      <c r="G99" s="96" t="str">
        <f t="shared" si="14"/>
        <v>XF83</v>
      </c>
      <c r="H99" s="2" t="s">
        <v>92</v>
      </c>
      <c r="I99" s="88"/>
      <c r="K99" s="1" t="s">
        <v>182</v>
      </c>
      <c r="L99" s="1">
        <f t="shared" si="15"/>
        <v>170</v>
      </c>
      <c r="M99" s="1">
        <f t="shared" si="16"/>
        <v>190</v>
      </c>
      <c r="N99" s="1">
        <f t="shared" si="17"/>
        <v>186</v>
      </c>
      <c r="O99" s="97">
        <f t="shared" ref="O99:Q109" si="27">(255-L99)/255</f>
        <v>0.33333333333333331</v>
      </c>
      <c r="P99" s="97">
        <f t="shared" si="27"/>
        <v>0.25490196078431371</v>
      </c>
      <c r="Q99" s="97">
        <f t="shared" si="27"/>
        <v>0.27058823529411763</v>
      </c>
      <c r="R99" s="4">
        <f t="shared" si="19"/>
        <v>0.10526315789473684</v>
      </c>
      <c r="S99" s="4">
        <f t="shared" si="20"/>
        <v>0</v>
      </c>
      <c r="T99" s="4">
        <f t="shared" si="21"/>
        <v>2.1052631578947368E-2</v>
      </c>
      <c r="U99" s="4">
        <f t="shared" si="22"/>
        <v>0.25490196078431371</v>
      </c>
      <c r="V99" s="4">
        <f t="shared" si="23"/>
        <v>0</v>
      </c>
      <c r="W99" s="4">
        <f t="shared" si="24"/>
        <v>0</v>
      </c>
      <c r="X99" s="4">
        <f t="shared" si="25"/>
        <v>0</v>
      </c>
      <c r="Y99" s="4">
        <f t="shared" si="26"/>
        <v>0</v>
      </c>
    </row>
    <row r="100" spans="1:25" ht="27" hidden="1" customHeight="1" x14ac:dyDescent="0.15">
      <c r="A100" s="1">
        <v>98</v>
      </c>
      <c r="B100" s="1" t="s">
        <v>215</v>
      </c>
      <c r="C100" s="1">
        <v>84</v>
      </c>
      <c r="G100" s="96" t="str">
        <f t="shared" si="14"/>
        <v>XF84</v>
      </c>
      <c r="H100" s="2" t="s">
        <v>90</v>
      </c>
      <c r="I100" s="89"/>
      <c r="K100" s="1" t="s">
        <v>183</v>
      </c>
      <c r="L100" s="1">
        <f t="shared" si="15"/>
        <v>81</v>
      </c>
      <c r="M100" s="1">
        <f t="shared" si="16"/>
        <v>67</v>
      </c>
      <c r="N100" s="1">
        <f t="shared" si="17"/>
        <v>51</v>
      </c>
      <c r="O100" s="97">
        <f t="shared" si="27"/>
        <v>0.68235294117647061</v>
      </c>
      <c r="P100" s="97">
        <f t="shared" si="27"/>
        <v>0.73725490196078436</v>
      </c>
      <c r="Q100" s="97">
        <f t="shared" si="27"/>
        <v>0.8</v>
      </c>
      <c r="R100" s="4">
        <f t="shared" si="19"/>
        <v>0</v>
      </c>
      <c r="S100" s="4">
        <f t="shared" si="20"/>
        <v>0.17283950617283961</v>
      </c>
      <c r="T100" s="4">
        <f t="shared" si="21"/>
        <v>0.37037037037037046</v>
      </c>
      <c r="U100" s="4">
        <f t="shared" si="22"/>
        <v>0.68235294117647061</v>
      </c>
      <c r="V100" s="4">
        <f t="shared" si="23"/>
        <v>0</v>
      </c>
      <c r="W100" s="4">
        <f t="shared" si="24"/>
        <v>0</v>
      </c>
      <c r="X100" s="4">
        <f t="shared" si="25"/>
        <v>0</v>
      </c>
      <c r="Y100" s="4">
        <f t="shared" si="26"/>
        <v>0</v>
      </c>
    </row>
    <row r="101" spans="1:25" ht="27" hidden="1" customHeight="1" x14ac:dyDescent="0.15">
      <c r="A101" s="1">
        <v>99</v>
      </c>
      <c r="B101" s="1" t="s">
        <v>215</v>
      </c>
      <c r="C101" s="1">
        <v>85</v>
      </c>
      <c r="G101" s="96" t="str">
        <f t="shared" si="14"/>
        <v>XF85</v>
      </c>
      <c r="H101" s="2" t="s">
        <v>91</v>
      </c>
      <c r="I101" s="3"/>
      <c r="K101" s="1" t="s">
        <v>100</v>
      </c>
      <c r="L101" s="1">
        <f t="shared" si="15"/>
        <v>35</v>
      </c>
      <c r="M101" s="1">
        <f t="shared" si="16"/>
        <v>25</v>
      </c>
      <c r="N101" s="1">
        <f t="shared" si="17"/>
        <v>22</v>
      </c>
      <c r="O101" s="97">
        <f t="shared" si="27"/>
        <v>0.86274509803921573</v>
      </c>
      <c r="P101" s="97">
        <f t="shared" si="27"/>
        <v>0.90196078431372551</v>
      </c>
      <c r="Q101" s="97">
        <f t="shared" si="27"/>
        <v>0.9137254901960784</v>
      </c>
      <c r="R101" s="4">
        <f t="shared" si="19"/>
        <v>0</v>
      </c>
      <c r="S101" s="4">
        <f t="shared" si="20"/>
        <v>0.28571428571428559</v>
      </c>
      <c r="T101" s="4">
        <f t="shared" si="21"/>
        <v>0.37142857142857105</v>
      </c>
      <c r="U101" s="4">
        <f t="shared" si="22"/>
        <v>0.86274509803921573</v>
      </c>
      <c r="V101" s="4">
        <f t="shared" si="23"/>
        <v>0</v>
      </c>
      <c r="W101" s="4">
        <f t="shared" si="24"/>
        <v>0</v>
      </c>
      <c r="X101" s="4">
        <f t="shared" si="25"/>
        <v>0</v>
      </c>
      <c r="Y101" s="4">
        <f t="shared" si="26"/>
        <v>0</v>
      </c>
    </row>
    <row r="102" spans="1:25" ht="25.5" hidden="1" customHeight="1" x14ac:dyDescent="0.15">
      <c r="A102" s="1">
        <v>100</v>
      </c>
      <c r="B102" s="1" t="s">
        <v>215</v>
      </c>
      <c r="C102" s="1">
        <v>86</v>
      </c>
      <c r="E102" s="1" t="s">
        <v>211</v>
      </c>
      <c r="G102" s="96" t="str">
        <f t="shared" si="14"/>
        <v>XF86</v>
      </c>
      <c r="H102" s="2" t="s">
        <v>184</v>
      </c>
      <c r="I102" s="5"/>
      <c r="K102" s="1" t="s">
        <v>101</v>
      </c>
      <c r="L102" s="1">
        <f t="shared" si="15"/>
        <v>255</v>
      </c>
      <c r="M102" s="1">
        <f t="shared" si="16"/>
        <v>255</v>
      </c>
      <c r="N102" s="1">
        <f t="shared" si="17"/>
        <v>255</v>
      </c>
      <c r="O102" s="97">
        <f t="shared" si="27"/>
        <v>0</v>
      </c>
      <c r="P102" s="97">
        <f t="shared" si="27"/>
        <v>0</v>
      </c>
      <c r="Q102" s="97">
        <f t="shared" si="27"/>
        <v>0</v>
      </c>
      <c r="R102" s="4">
        <f t="shared" si="19"/>
        <v>0</v>
      </c>
      <c r="S102" s="4">
        <f t="shared" si="20"/>
        <v>0</v>
      </c>
      <c r="T102" s="4">
        <f t="shared" si="21"/>
        <v>0</v>
      </c>
      <c r="U102" s="4">
        <f t="shared" si="22"/>
        <v>0</v>
      </c>
      <c r="V102" s="4">
        <f t="shared" si="23"/>
        <v>0</v>
      </c>
      <c r="W102" s="4">
        <f t="shared" si="24"/>
        <v>0</v>
      </c>
      <c r="X102" s="4">
        <f t="shared" si="25"/>
        <v>0</v>
      </c>
      <c r="Y102" s="4">
        <f t="shared" si="26"/>
        <v>0</v>
      </c>
    </row>
    <row r="103" spans="1:25" ht="27" hidden="1" customHeight="1" x14ac:dyDescent="0.15">
      <c r="A103" s="1">
        <v>101</v>
      </c>
      <c r="B103" s="1" t="s">
        <v>215</v>
      </c>
      <c r="C103" s="1">
        <v>87</v>
      </c>
      <c r="G103" s="96" t="str">
        <f t="shared" si="14"/>
        <v>XF87</v>
      </c>
      <c r="H103" s="2" t="s">
        <v>207</v>
      </c>
      <c r="I103" s="90"/>
      <c r="K103" s="1" t="s">
        <v>185</v>
      </c>
      <c r="L103" s="1">
        <f t="shared" si="15"/>
        <v>125</v>
      </c>
      <c r="M103" s="1">
        <f t="shared" si="16"/>
        <v>128</v>
      </c>
      <c r="N103" s="1">
        <f t="shared" si="17"/>
        <v>134</v>
      </c>
      <c r="O103" s="97">
        <f t="shared" si="27"/>
        <v>0.50980392156862742</v>
      </c>
      <c r="P103" s="97">
        <f t="shared" si="27"/>
        <v>0.49803921568627452</v>
      </c>
      <c r="Q103" s="97">
        <f t="shared" si="27"/>
        <v>0.47450980392156861</v>
      </c>
      <c r="R103" s="4">
        <f t="shared" si="19"/>
        <v>6.7164179104477584E-2</v>
      </c>
      <c r="S103" s="4">
        <f t="shared" si="20"/>
        <v>4.4776119402985128E-2</v>
      </c>
      <c r="T103" s="4">
        <f t="shared" si="21"/>
        <v>0</v>
      </c>
      <c r="U103" s="4">
        <f t="shared" si="22"/>
        <v>0.47450980392156861</v>
      </c>
      <c r="V103" s="4">
        <f t="shared" si="23"/>
        <v>0</v>
      </c>
      <c r="W103" s="4">
        <f t="shared" si="24"/>
        <v>0</v>
      </c>
      <c r="X103" s="4">
        <f t="shared" si="25"/>
        <v>0</v>
      </c>
      <c r="Y103" s="4">
        <f t="shared" si="26"/>
        <v>0</v>
      </c>
    </row>
    <row r="104" spans="1:25" ht="27" hidden="1" customHeight="1" x14ac:dyDescent="0.15">
      <c r="A104" s="1">
        <v>102</v>
      </c>
      <c r="B104" s="1" t="s">
        <v>215</v>
      </c>
      <c r="C104" s="1">
        <v>88</v>
      </c>
      <c r="G104" s="96" t="str">
        <f t="shared" si="14"/>
        <v>XF88</v>
      </c>
      <c r="H104" s="2" t="s">
        <v>95</v>
      </c>
      <c r="I104" s="91"/>
      <c r="K104" s="1" t="s">
        <v>186</v>
      </c>
      <c r="L104" s="1">
        <f t="shared" si="15"/>
        <v>200</v>
      </c>
      <c r="M104" s="1">
        <f t="shared" si="16"/>
        <v>179</v>
      </c>
      <c r="N104" s="1">
        <f t="shared" si="17"/>
        <v>75</v>
      </c>
      <c r="O104" s="97">
        <f t="shared" si="27"/>
        <v>0.21568627450980393</v>
      </c>
      <c r="P104" s="97">
        <f t="shared" si="27"/>
        <v>0.29803921568627451</v>
      </c>
      <c r="Q104" s="97">
        <f t="shared" si="27"/>
        <v>0.70588235294117652</v>
      </c>
      <c r="R104" s="4">
        <f t="shared" si="19"/>
        <v>0</v>
      </c>
      <c r="S104" s="4">
        <f t="shared" si="20"/>
        <v>0.10499999999999998</v>
      </c>
      <c r="T104" s="4">
        <f t="shared" si="21"/>
        <v>0.625</v>
      </c>
      <c r="U104" s="4">
        <f t="shared" si="22"/>
        <v>0.21568627450980393</v>
      </c>
      <c r="V104" s="4">
        <f t="shared" si="23"/>
        <v>0</v>
      </c>
      <c r="W104" s="4">
        <f t="shared" si="24"/>
        <v>0</v>
      </c>
      <c r="X104" s="4">
        <f t="shared" si="25"/>
        <v>0</v>
      </c>
      <c r="Y104" s="4">
        <f t="shared" si="26"/>
        <v>0</v>
      </c>
    </row>
    <row r="105" spans="1:25" ht="27" hidden="1" customHeight="1" x14ac:dyDescent="0.15">
      <c r="A105" s="1">
        <v>103</v>
      </c>
      <c r="B105" s="1" t="s">
        <v>215</v>
      </c>
      <c r="C105" s="1">
        <v>89</v>
      </c>
      <c r="G105" s="96" t="str">
        <f t="shared" si="14"/>
        <v>XF89</v>
      </c>
      <c r="H105" s="2" t="s">
        <v>94</v>
      </c>
      <c r="I105" s="33"/>
      <c r="K105" s="1" t="s">
        <v>128</v>
      </c>
      <c r="L105" s="1">
        <f t="shared" si="15"/>
        <v>91</v>
      </c>
      <c r="M105" s="1">
        <f t="shared" si="16"/>
        <v>132</v>
      </c>
      <c r="N105" s="1">
        <f t="shared" si="17"/>
        <v>97</v>
      </c>
      <c r="O105" s="97">
        <f t="shared" si="27"/>
        <v>0.64313725490196083</v>
      </c>
      <c r="P105" s="97">
        <f t="shared" si="27"/>
        <v>0.4823529411764706</v>
      </c>
      <c r="Q105" s="97">
        <f t="shared" si="27"/>
        <v>0.61960784313725492</v>
      </c>
      <c r="R105" s="4">
        <f t="shared" si="19"/>
        <v>0.31060606060606072</v>
      </c>
      <c r="S105" s="4">
        <f t="shared" si="20"/>
        <v>0</v>
      </c>
      <c r="T105" s="4">
        <f t="shared" si="21"/>
        <v>0.26515151515151519</v>
      </c>
      <c r="U105" s="4">
        <f t="shared" si="22"/>
        <v>0.4823529411764706</v>
      </c>
      <c r="V105" s="4">
        <f t="shared" si="23"/>
        <v>0</v>
      </c>
      <c r="W105" s="4">
        <f t="shared" si="24"/>
        <v>0</v>
      </c>
      <c r="X105" s="4">
        <f t="shared" si="25"/>
        <v>0</v>
      </c>
      <c r="Y105" s="4">
        <f t="shared" si="26"/>
        <v>0</v>
      </c>
    </row>
    <row r="106" spans="1:25" ht="27" hidden="1" customHeight="1" x14ac:dyDescent="0.15">
      <c r="A106" s="1">
        <v>104</v>
      </c>
      <c r="B106" s="1" t="s">
        <v>215</v>
      </c>
      <c r="C106" s="1">
        <v>90</v>
      </c>
      <c r="G106" s="96" t="str">
        <f t="shared" si="14"/>
        <v>XF90</v>
      </c>
      <c r="H106" s="2" t="s">
        <v>93</v>
      </c>
      <c r="I106" s="38"/>
      <c r="K106" s="1" t="s">
        <v>133</v>
      </c>
      <c r="L106" s="1">
        <f t="shared" si="15"/>
        <v>79</v>
      </c>
      <c r="M106" s="1">
        <f t="shared" si="16"/>
        <v>57</v>
      </c>
      <c r="N106" s="1">
        <f t="shared" si="17"/>
        <v>51</v>
      </c>
      <c r="O106" s="97">
        <f t="shared" si="27"/>
        <v>0.69019607843137254</v>
      </c>
      <c r="P106" s="97">
        <f t="shared" si="27"/>
        <v>0.77647058823529413</v>
      </c>
      <c r="Q106" s="97">
        <f t="shared" si="27"/>
        <v>0.8</v>
      </c>
      <c r="R106" s="4">
        <f t="shared" si="19"/>
        <v>0</v>
      </c>
      <c r="S106" s="4">
        <f t="shared" si="20"/>
        <v>0.27848101265822794</v>
      </c>
      <c r="T106" s="4">
        <f t="shared" si="21"/>
        <v>0.35443037974683561</v>
      </c>
      <c r="U106" s="4">
        <f t="shared" si="22"/>
        <v>0.69019607843137254</v>
      </c>
      <c r="V106" s="4">
        <f t="shared" si="23"/>
        <v>0</v>
      </c>
      <c r="W106" s="4">
        <f t="shared" si="24"/>
        <v>0</v>
      </c>
      <c r="X106" s="4">
        <f t="shared" si="25"/>
        <v>0</v>
      </c>
      <c r="Y106" s="4">
        <f t="shared" si="26"/>
        <v>0</v>
      </c>
    </row>
    <row r="107" spans="1:25" ht="27" hidden="1" customHeight="1" x14ac:dyDescent="0.15">
      <c r="A107" s="1">
        <v>105</v>
      </c>
      <c r="B107" s="1" t="s">
        <v>215</v>
      </c>
      <c r="C107" s="1">
        <v>91</v>
      </c>
      <c r="G107" s="96" t="str">
        <f t="shared" si="14"/>
        <v>XF91</v>
      </c>
      <c r="H107" s="2" t="s">
        <v>206</v>
      </c>
      <c r="I107" s="92"/>
      <c r="K107" s="1" t="s">
        <v>187</v>
      </c>
      <c r="L107" s="1">
        <f t="shared" si="15"/>
        <v>99</v>
      </c>
      <c r="M107" s="1">
        <f t="shared" si="16"/>
        <v>106</v>
      </c>
      <c r="N107" s="1">
        <f t="shared" si="17"/>
        <v>116</v>
      </c>
      <c r="O107" s="97">
        <f t="shared" si="27"/>
        <v>0.61176470588235299</v>
      </c>
      <c r="P107" s="97">
        <f t="shared" si="27"/>
        <v>0.58431372549019611</v>
      </c>
      <c r="Q107" s="97">
        <f t="shared" si="27"/>
        <v>0.54509803921568623</v>
      </c>
      <c r="R107" s="4">
        <f t="shared" si="19"/>
        <v>0.14655172413793122</v>
      </c>
      <c r="S107" s="4">
        <f t="shared" si="20"/>
        <v>8.620689655172431E-2</v>
      </c>
      <c r="T107" s="4">
        <f t="shared" si="21"/>
        <v>0</v>
      </c>
      <c r="U107" s="4">
        <f t="shared" si="22"/>
        <v>0.54509803921568623</v>
      </c>
      <c r="V107" s="4">
        <f t="shared" si="23"/>
        <v>0</v>
      </c>
      <c r="W107" s="4">
        <f t="shared" si="24"/>
        <v>0</v>
      </c>
      <c r="X107" s="4">
        <f t="shared" si="25"/>
        <v>0</v>
      </c>
      <c r="Y107" s="4">
        <f t="shared" si="26"/>
        <v>0</v>
      </c>
    </row>
    <row r="108" spans="1:25" ht="27" hidden="1" customHeight="1" x14ac:dyDescent="0.15">
      <c r="A108" s="1">
        <v>106</v>
      </c>
      <c r="B108" s="1" t="s">
        <v>215</v>
      </c>
      <c r="C108" s="1">
        <v>92</v>
      </c>
      <c r="G108" s="96" t="str">
        <f t="shared" si="14"/>
        <v>XF92</v>
      </c>
      <c r="H108" s="2" t="s">
        <v>96</v>
      </c>
      <c r="I108" s="93"/>
      <c r="K108" s="1" t="s">
        <v>188</v>
      </c>
      <c r="L108" s="1">
        <f t="shared" si="15"/>
        <v>177</v>
      </c>
      <c r="M108" s="1">
        <f t="shared" si="16"/>
        <v>130</v>
      </c>
      <c r="N108" s="1">
        <f t="shared" si="17"/>
        <v>80</v>
      </c>
      <c r="O108" s="97">
        <f t="shared" si="27"/>
        <v>0.30588235294117649</v>
      </c>
      <c r="P108" s="97">
        <f t="shared" si="27"/>
        <v>0.49019607843137253</v>
      </c>
      <c r="Q108" s="97">
        <f t="shared" si="27"/>
        <v>0.68627450980392157</v>
      </c>
      <c r="R108" s="4">
        <f t="shared" si="19"/>
        <v>0</v>
      </c>
      <c r="S108" s="4">
        <f t="shared" si="20"/>
        <v>0.26553672316384175</v>
      </c>
      <c r="T108" s="4">
        <f t="shared" si="21"/>
        <v>0.54802259887005644</v>
      </c>
      <c r="U108" s="4">
        <f t="shared" si="22"/>
        <v>0.30588235294117649</v>
      </c>
      <c r="V108" s="4">
        <f t="shared" si="23"/>
        <v>0</v>
      </c>
      <c r="W108" s="4">
        <f t="shared" si="24"/>
        <v>0</v>
      </c>
      <c r="X108" s="4">
        <f t="shared" si="25"/>
        <v>0</v>
      </c>
      <c r="Y108" s="4">
        <f t="shared" si="26"/>
        <v>0</v>
      </c>
    </row>
    <row r="109" spans="1:25" ht="27" hidden="1" customHeight="1" x14ac:dyDescent="0.15">
      <c r="A109" s="1">
        <v>107</v>
      </c>
      <c r="B109" s="1" t="s">
        <v>215</v>
      </c>
      <c r="C109" s="1">
        <v>93</v>
      </c>
      <c r="G109" s="96" t="str">
        <f t="shared" si="14"/>
        <v>XF93</v>
      </c>
      <c r="H109" s="2" t="s">
        <v>97</v>
      </c>
      <c r="I109" s="94"/>
      <c r="K109" s="1" t="s">
        <v>189</v>
      </c>
      <c r="L109" s="1">
        <f t="shared" si="15"/>
        <v>230</v>
      </c>
      <c r="M109" s="1">
        <f t="shared" si="16"/>
        <v>179</v>
      </c>
      <c r="N109" s="1">
        <f t="shared" si="17"/>
        <v>110</v>
      </c>
      <c r="O109" s="97">
        <f t="shared" si="27"/>
        <v>9.8039215686274508E-2</v>
      </c>
      <c r="P109" s="97">
        <f t="shared" si="27"/>
        <v>0.29803921568627451</v>
      </c>
      <c r="Q109" s="97">
        <f t="shared" si="27"/>
        <v>0.56862745098039214</v>
      </c>
      <c r="R109" s="4">
        <f t="shared" si="19"/>
        <v>0</v>
      </c>
      <c r="S109" s="4">
        <f t="shared" si="20"/>
        <v>0.22173913043478261</v>
      </c>
      <c r="T109" s="4">
        <f t="shared" si="21"/>
        <v>0.52173913043478259</v>
      </c>
      <c r="U109" s="4">
        <f t="shared" si="22"/>
        <v>9.8039215686274508E-2</v>
      </c>
      <c r="V109" s="4">
        <f t="shared" si="23"/>
        <v>0</v>
      </c>
      <c r="W109" s="4">
        <f t="shared" si="24"/>
        <v>0</v>
      </c>
      <c r="X109" s="4">
        <f t="shared" si="25"/>
        <v>0</v>
      </c>
      <c r="Y109" s="4">
        <f t="shared" si="26"/>
        <v>0</v>
      </c>
    </row>
  </sheetData>
  <autoFilter ref="A2:W109">
    <filterColumn colId="5">
      <customFilters>
        <customFilter operator="notEqual" val=" "/>
      </customFilters>
    </filterColumn>
  </autoFilter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08503F"/>
  </sheetPr>
  <dimension ref="A1:Y109"/>
  <sheetViews>
    <sheetView zoomScale="130" zoomScaleNormal="130" workbookViewId="0">
      <pane xSplit="4" ySplit="2" topLeftCell="E54" activePane="bottomRight" state="frozen"/>
      <selection pane="topRight" activeCell="E1" sqref="E1"/>
      <selection pane="bottomLeft" activeCell="A2" sqref="A2"/>
      <selection pane="bottomRight"/>
    </sheetView>
  </sheetViews>
  <sheetFormatPr defaultRowHeight="25.5" customHeight="1" x14ac:dyDescent="0.15"/>
  <cols>
    <col min="1" max="1" width="9.5" style="1" bestFit="1" customWidth="1"/>
    <col min="2" max="3" width="6.5" style="1" hidden="1" customWidth="1"/>
    <col min="4" max="4" width="6.5" style="2" hidden="1" customWidth="1"/>
    <col min="5" max="5" width="6.5" style="1" bestFit="1" customWidth="1"/>
    <col min="6" max="6" width="7.5" style="1" bestFit="1" customWidth="1"/>
    <col min="7" max="7" width="9.5" style="1" bestFit="1" customWidth="1"/>
    <col min="8" max="8" width="42.75" style="2" bestFit="1" customWidth="1"/>
    <col min="9" max="9" width="11.5" style="95" bestFit="1" customWidth="1"/>
    <col min="10" max="10" width="9.5" style="98" bestFit="1" customWidth="1"/>
    <col min="11" max="11" width="12.75" style="1" hidden="1" customWidth="1"/>
    <col min="12" max="14" width="6.5" style="1" hidden="1" customWidth="1"/>
    <col min="15" max="17" width="7.5" style="97" hidden="1" customWidth="1"/>
    <col min="18" max="21" width="7.5" style="4" hidden="1" customWidth="1"/>
    <col min="22" max="23" width="8.5" style="4" hidden="1" customWidth="1"/>
    <col min="24" max="25" width="7.5" style="4" hidden="1" customWidth="1"/>
    <col min="26" max="16384" width="9" style="2"/>
  </cols>
  <sheetData>
    <row r="1" spans="1:25" ht="47.25" customHeight="1" x14ac:dyDescent="0.15">
      <c r="B1" s="98">
        <f>SUM(J3:J109)</f>
        <v>4</v>
      </c>
      <c r="H1" s="2" t="s">
        <v>233</v>
      </c>
      <c r="I1" s="105"/>
      <c r="K1" s="1" t="str">
        <f>"&amp;h00"&amp;DEC2HEX(N1,2)&amp;DEC2HEX(M1,2)&amp;DEC2HEX(L1,2)&amp;"&amp;"</f>
        <v>&amp;h003F5008&amp;</v>
      </c>
      <c r="L1" s="1">
        <f>(1-O1)*255</f>
        <v>8.1515625000000043</v>
      </c>
      <c r="M1" s="1">
        <f>(1-P1)*255</f>
        <v>80.475000000000023</v>
      </c>
      <c r="N1" s="1">
        <f>(1-Q1)*255</f>
        <v>63.903169014084519</v>
      </c>
      <c r="O1" s="97">
        <f>MIN(1,R1*(1-U1)+U1)</f>
        <v>0.9680330882352941</v>
      </c>
      <c r="P1" s="97">
        <f>MIN(1,S1*(1-U1)+U1)</f>
        <v>0.68441176470588228</v>
      </c>
      <c r="Q1" s="97">
        <f>MIN(1,T1*(1-U1)+U1)</f>
        <v>0.74939933719966856</v>
      </c>
      <c r="R1" s="4">
        <f>IFERROR(SUM(V3:V109)/B1,0)</f>
        <v>0.90208333333333335</v>
      </c>
      <c r="S1" s="4">
        <f>IFERROR(SUM(W3:W109)/B1,0)</f>
        <v>3.3333333333333333E-2</v>
      </c>
      <c r="T1" s="4">
        <f>IFERROR(SUM(X3:X109)/B1,0)</f>
        <v>0.23239436619718318</v>
      </c>
      <c r="U1" s="4">
        <f>IFERROR(SUM(Y3:Y109)/B1,0)</f>
        <v>0.67352941176470582</v>
      </c>
    </row>
    <row r="2" spans="1:25" ht="43.5" customHeight="1" x14ac:dyDescent="0.15">
      <c r="A2" s="99" t="s">
        <v>190</v>
      </c>
      <c r="B2" s="99" t="s">
        <v>200</v>
      </c>
      <c r="C2" s="99" t="s">
        <v>201</v>
      </c>
      <c r="D2" s="99" t="s">
        <v>202</v>
      </c>
      <c r="E2" s="99" t="s">
        <v>212</v>
      </c>
      <c r="F2" s="99" t="s">
        <v>198</v>
      </c>
      <c r="G2" s="100" t="s">
        <v>191</v>
      </c>
      <c r="H2" s="99" t="s">
        <v>192</v>
      </c>
      <c r="I2" s="101" t="s">
        <v>196</v>
      </c>
      <c r="J2" s="101" t="s">
        <v>221</v>
      </c>
      <c r="K2" s="99" t="s">
        <v>193</v>
      </c>
      <c r="L2" s="99" t="s">
        <v>199</v>
      </c>
      <c r="M2" s="99" t="s">
        <v>194</v>
      </c>
      <c r="N2" s="99" t="s">
        <v>195</v>
      </c>
      <c r="O2" s="103" t="s">
        <v>203</v>
      </c>
      <c r="P2" s="103" t="s">
        <v>204</v>
      </c>
      <c r="Q2" s="103" t="s">
        <v>205</v>
      </c>
      <c r="R2" s="99" t="s">
        <v>222</v>
      </c>
      <c r="S2" s="99" t="s">
        <v>223</v>
      </c>
      <c r="T2" s="99" t="s">
        <v>224</v>
      </c>
      <c r="U2" s="99" t="s">
        <v>225</v>
      </c>
      <c r="V2" s="102" t="s">
        <v>226</v>
      </c>
      <c r="W2" s="102" t="s">
        <v>227</v>
      </c>
      <c r="X2" s="102" t="s">
        <v>228</v>
      </c>
      <c r="Y2" s="102" t="s">
        <v>229</v>
      </c>
    </row>
    <row r="3" spans="1:25" ht="27" hidden="1" customHeight="1" x14ac:dyDescent="0.15">
      <c r="A3" s="1">
        <v>1</v>
      </c>
      <c r="B3" s="1" t="s">
        <v>214</v>
      </c>
      <c r="C3" s="1">
        <v>1</v>
      </c>
      <c r="G3" s="96" t="str">
        <f t="shared" ref="G3:G66" si="0">B3&amp;C3&amp;D3</f>
        <v>X1</v>
      </c>
      <c r="H3" s="2" t="s">
        <v>0</v>
      </c>
      <c r="I3" s="3"/>
      <c r="K3" s="1" t="s">
        <v>100</v>
      </c>
      <c r="L3" s="1">
        <f t="shared" ref="L3:L66" si="1">HEX2DEC(MID(K3,9,2))</f>
        <v>35</v>
      </c>
      <c r="M3" s="1">
        <f t="shared" ref="M3:M66" si="2">HEX2DEC(MID(K3,7,2))</f>
        <v>25</v>
      </c>
      <c r="N3" s="1">
        <f t="shared" ref="N3:N66" si="3">HEX2DEC(MID(K3,5,2))</f>
        <v>22</v>
      </c>
      <c r="O3" s="97">
        <f t="shared" ref="O3:Q34" si="4">(255-L3)/255</f>
        <v>0.86274509803921573</v>
      </c>
      <c r="P3" s="97">
        <f t="shared" si="4"/>
        <v>0.90196078431372551</v>
      </c>
      <c r="Q3" s="97">
        <f t="shared" si="4"/>
        <v>0.9137254901960784</v>
      </c>
      <c r="R3" s="4">
        <f t="shared" ref="R3:R66" si="5">(O3-U3)/(1-U3)</f>
        <v>0</v>
      </c>
      <c r="S3" s="4">
        <f t="shared" ref="S3:S66" si="6">(P3-U3)/(1-U3)</f>
        <v>0.28571428571428559</v>
      </c>
      <c r="T3" s="4">
        <f t="shared" ref="T3:T66" si="7">(Q3-U3)/(1-U3)</f>
        <v>0.37142857142857105</v>
      </c>
      <c r="U3" s="4">
        <f t="shared" ref="U3:U66" si="8">MIN(O3,P3,Q3)</f>
        <v>0.86274509803921573</v>
      </c>
      <c r="V3" s="4">
        <f t="shared" ref="V3:V66" si="9">J3*R3</f>
        <v>0</v>
      </c>
      <c r="W3" s="4">
        <f t="shared" ref="W3:W66" si="10">J3*S3</f>
        <v>0</v>
      </c>
      <c r="X3" s="4">
        <f t="shared" ref="X3:X66" si="11">J3*T3</f>
        <v>0</v>
      </c>
      <c r="Y3" s="4">
        <f t="shared" ref="Y3:Y66" si="12">J3*U3</f>
        <v>0</v>
      </c>
    </row>
    <row r="4" spans="1:25" ht="27" hidden="1" customHeight="1" x14ac:dyDescent="0.15">
      <c r="A4" s="1">
        <v>2</v>
      </c>
      <c r="B4" s="1" t="s">
        <v>214</v>
      </c>
      <c r="C4" s="1">
        <v>2</v>
      </c>
      <c r="G4" s="96" t="str">
        <f t="shared" si="0"/>
        <v>X2</v>
      </c>
      <c r="H4" s="2" t="s">
        <v>1</v>
      </c>
      <c r="I4" s="5"/>
      <c r="K4" s="1" t="s">
        <v>101</v>
      </c>
      <c r="L4" s="1">
        <f t="shared" si="1"/>
        <v>255</v>
      </c>
      <c r="M4" s="1">
        <f t="shared" si="2"/>
        <v>255</v>
      </c>
      <c r="N4" s="1">
        <f t="shared" si="3"/>
        <v>255</v>
      </c>
      <c r="O4" s="97">
        <f t="shared" si="4"/>
        <v>0</v>
      </c>
      <c r="P4" s="97">
        <f t="shared" si="4"/>
        <v>0</v>
      </c>
      <c r="Q4" s="97">
        <f t="shared" si="4"/>
        <v>0</v>
      </c>
      <c r="R4" s="4">
        <f t="shared" si="5"/>
        <v>0</v>
      </c>
      <c r="S4" s="4">
        <f t="shared" si="6"/>
        <v>0</v>
      </c>
      <c r="T4" s="4">
        <f t="shared" si="7"/>
        <v>0</v>
      </c>
      <c r="U4" s="4">
        <f t="shared" si="8"/>
        <v>0</v>
      </c>
      <c r="V4" s="4">
        <f t="shared" si="9"/>
        <v>0</v>
      </c>
      <c r="W4" s="4">
        <f t="shared" si="10"/>
        <v>0</v>
      </c>
      <c r="X4" s="4">
        <f t="shared" si="11"/>
        <v>0</v>
      </c>
      <c r="Y4" s="4">
        <f t="shared" si="12"/>
        <v>0</v>
      </c>
    </row>
    <row r="5" spans="1:25" ht="27" hidden="1" customHeight="1" x14ac:dyDescent="0.15">
      <c r="A5" s="1">
        <v>3</v>
      </c>
      <c r="B5" s="1" t="s">
        <v>214</v>
      </c>
      <c r="C5" s="1">
        <v>3</v>
      </c>
      <c r="G5" s="96" t="str">
        <f t="shared" si="0"/>
        <v>X3</v>
      </c>
      <c r="H5" s="2" t="s">
        <v>2</v>
      </c>
      <c r="I5" s="6"/>
      <c r="K5" s="1" t="s">
        <v>102</v>
      </c>
      <c r="L5" s="1">
        <f t="shared" si="1"/>
        <v>20</v>
      </c>
      <c r="M5" s="1">
        <f t="shared" si="2"/>
        <v>54</v>
      </c>
      <c r="N5" s="1">
        <f t="shared" si="3"/>
        <v>96</v>
      </c>
      <c r="O5" s="97">
        <f t="shared" si="4"/>
        <v>0.92156862745098034</v>
      </c>
      <c r="P5" s="97">
        <f t="shared" si="4"/>
        <v>0.78823529411764703</v>
      </c>
      <c r="Q5" s="97">
        <f t="shared" si="4"/>
        <v>0.62352941176470589</v>
      </c>
      <c r="R5" s="4">
        <f t="shared" si="5"/>
        <v>0.79166666666666652</v>
      </c>
      <c r="S5" s="4">
        <f t="shared" si="6"/>
        <v>0.43749999999999994</v>
      </c>
      <c r="T5" s="4">
        <f t="shared" si="7"/>
        <v>0</v>
      </c>
      <c r="U5" s="4">
        <f t="shared" si="8"/>
        <v>0.62352941176470589</v>
      </c>
      <c r="V5" s="4">
        <f t="shared" si="9"/>
        <v>0</v>
      </c>
      <c r="W5" s="4">
        <f t="shared" si="10"/>
        <v>0</v>
      </c>
      <c r="X5" s="4">
        <f t="shared" si="11"/>
        <v>0</v>
      </c>
      <c r="Y5" s="4">
        <f t="shared" si="12"/>
        <v>0</v>
      </c>
    </row>
    <row r="6" spans="1:25" ht="27" hidden="1" customHeight="1" x14ac:dyDescent="0.15">
      <c r="A6" s="1">
        <v>4</v>
      </c>
      <c r="B6" s="1" t="s">
        <v>214</v>
      </c>
      <c r="C6" s="1">
        <v>4</v>
      </c>
      <c r="G6" s="96" t="str">
        <f t="shared" si="0"/>
        <v>X4</v>
      </c>
      <c r="H6" s="2" t="s">
        <v>3</v>
      </c>
      <c r="I6" s="7"/>
      <c r="K6" s="1" t="s">
        <v>103</v>
      </c>
      <c r="L6" s="1">
        <f t="shared" si="1"/>
        <v>0</v>
      </c>
      <c r="M6" s="1">
        <f t="shared" si="2"/>
        <v>78</v>
      </c>
      <c r="N6" s="1">
        <f t="shared" si="3"/>
        <v>162</v>
      </c>
      <c r="O6" s="97">
        <f t="shared" si="4"/>
        <v>1</v>
      </c>
      <c r="P6" s="97">
        <f t="shared" si="4"/>
        <v>0.69411764705882351</v>
      </c>
      <c r="Q6" s="97">
        <f t="shared" si="4"/>
        <v>0.36470588235294116</v>
      </c>
      <c r="R6" s="4">
        <f t="shared" si="5"/>
        <v>1</v>
      </c>
      <c r="S6" s="4">
        <f t="shared" si="6"/>
        <v>0.51851851851851849</v>
      </c>
      <c r="T6" s="4">
        <f t="shared" si="7"/>
        <v>0</v>
      </c>
      <c r="U6" s="4">
        <f t="shared" si="8"/>
        <v>0.36470588235294116</v>
      </c>
      <c r="V6" s="4">
        <f t="shared" si="9"/>
        <v>0</v>
      </c>
      <c r="W6" s="4">
        <f t="shared" si="10"/>
        <v>0</v>
      </c>
      <c r="X6" s="4">
        <f t="shared" si="11"/>
        <v>0</v>
      </c>
      <c r="Y6" s="4">
        <f t="shared" si="12"/>
        <v>0</v>
      </c>
    </row>
    <row r="7" spans="1:25" ht="27" hidden="1" customHeight="1" x14ac:dyDescent="0.15">
      <c r="A7" s="1">
        <v>5</v>
      </c>
      <c r="B7" s="1" t="s">
        <v>214</v>
      </c>
      <c r="C7" s="1">
        <v>5</v>
      </c>
      <c r="G7" s="96" t="str">
        <f t="shared" si="0"/>
        <v>X5</v>
      </c>
      <c r="H7" s="2" t="s">
        <v>4</v>
      </c>
      <c r="I7" s="8"/>
      <c r="K7" s="1" t="s">
        <v>104</v>
      </c>
      <c r="L7" s="1">
        <f t="shared" si="1"/>
        <v>0</v>
      </c>
      <c r="M7" s="1">
        <f t="shared" si="2"/>
        <v>107</v>
      </c>
      <c r="N7" s="1">
        <f t="shared" si="3"/>
        <v>69</v>
      </c>
      <c r="O7" s="97">
        <f t="shared" si="4"/>
        <v>1</v>
      </c>
      <c r="P7" s="97">
        <f t="shared" si="4"/>
        <v>0.58039215686274515</v>
      </c>
      <c r="Q7" s="97">
        <f t="shared" si="4"/>
        <v>0.72941176470588232</v>
      </c>
      <c r="R7" s="4">
        <f t="shared" si="5"/>
        <v>1</v>
      </c>
      <c r="S7" s="4">
        <f t="shared" si="6"/>
        <v>0</v>
      </c>
      <c r="T7" s="4">
        <f t="shared" si="7"/>
        <v>0.35514018691588767</v>
      </c>
      <c r="U7" s="4">
        <f t="shared" si="8"/>
        <v>0.58039215686274515</v>
      </c>
      <c r="V7" s="4">
        <f t="shared" si="9"/>
        <v>0</v>
      </c>
      <c r="W7" s="4">
        <f t="shared" si="10"/>
        <v>0</v>
      </c>
      <c r="X7" s="4">
        <f t="shared" si="11"/>
        <v>0</v>
      </c>
      <c r="Y7" s="4">
        <f t="shared" si="12"/>
        <v>0</v>
      </c>
    </row>
    <row r="8" spans="1:25" ht="27" hidden="1" customHeight="1" x14ac:dyDescent="0.15">
      <c r="A8" s="1">
        <v>6</v>
      </c>
      <c r="B8" s="1" t="s">
        <v>214</v>
      </c>
      <c r="C8" s="1">
        <v>6</v>
      </c>
      <c r="G8" s="96" t="str">
        <f t="shared" si="0"/>
        <v>X6</v>
      </c>
      <c r="H8" s="2" t="s">
        <v>5</v>
      </c>
      <c r="I8" s="9"/>
      <c r="K8" s="1" t="s">
        <v>105</v>
      </c>
      <c r="L8" s="1">
        <f t="shared" si="1"/>
        <v>237</v>
      </c>
      <c r="M8" s="1">
        <f t="shared" si="2"/>
        <v>109</v>
      </c>
      <c r="N8" s="1">
        <f t="shared" si="3"/>
        <v>1</v>
      </c>
      <c r="O8" s="97">
        <f t="shared" si="4"/>
        <v>7.0588235294117646E-2</v>
      </c>
      <c r="P8" s="97">
        <f t="shared" si="4"/>
        <v>0.5725490196078431</v>
      </c>
      <c r="Q8" s="97">
        <f t="shared" si="4"/>
        <v>0.99607843137254903</v>
      </c>
      <c r="R8" s="4">
        <f t="shared" si="5"/>
        <v>0</v>
      </c>
      <c r="S8" s="4">
        <f t="shared" si="6"/>
        <v>0.54008438818565396</v>
      </c>
      <c r="T8" s="4">
        <f t="shared" si="7"/>
        <v>0.99578059071729963</v>
      </c>
      <c r="U8" s="4">
        <f t="shared" si="8"/>
        <v>7.0588235294117646E-2</v>
      </c>
      <c r="V8" s="4">
        <f t="shared" si="9"/>
        <v>0</v>
      </c>
      <c r="W8" s="4">
        <f t="shared" si="10"/>
        <v>0</v>
      </c>
      <c r="X8" s="4">
        <f t="shared" si="11"/>
        <v>0</v>
      </c>
      <c r="Y8" s="4">
        <f t="shared" si="12"/>
        <v>0</v>
      </c>
    </row>
    <row r="9" spans="1:25" ht="27" hidden="1" customHeight="1" x14ac:dyDescent="0.15">
      <c r="A9" s="1">
        <v>7</v>
      </c>
      <c r="B9" s="1" t="s">
        <v>214</v>
      </c>
      <c r="C9" s="1">
        <v>7</v>
      </c>
      <c r="G9" s="96" t="str">
        <f t="shared" si="0"/>
        <v>X7</v>
      </c>
      <c r="H9" s="2" t="s">
        <v>98</v>
      </c>
      <c r="I9" s="10"/>
      <c r="K9" s="1" t="s">
        <v>106</v>
      </c>
      <c r="L9" s="1">
        <f t="shared" si="1"/>
        <v>230</v>
      </c>
      <c r="M9" s="1">
        <f t="shared" si="2"/>
        <v>0</v>
      </c>
      <c r="N9" s="1">
        <f t="shared" si="3"/>
        <v>19</v>
      </c>
      <c r="O9" s="97">
        <f t="shared" si="4"/>
        <v>9.8039215686274508E-2</v>
      </c>
      <c r="P9" s="97">
        <f t="shared" si="4"/>
        <v>1</v>
      </c>
      <c r="Q9" s="97">
        <f t="shared" si="4"/>
        <v>0.92549019607843142</v>
      </c>
      <c r="R9" s="4">
        <f t="shared" si="5"/>
        <v>0</v>
      </c>
      <c r="S9" s="4">
        <f t="shared" si="6"/>
        <v>1</v>
      </c>
      <c r="T9" s="4">
        <f t="shared" si="7"/>
        <v>0.91739130434782612</v>
      </c>
      <c r="U9" s="4">
        <f t="shared" si="8"/>
        <v>9.8039215686274508E-2</v>
      </c>
      <c r="V9" s="4">
        <f t="shared" si="9"/>
        <v>0</v>
      </c>
      <c r="W9" s="4">
        <f t="shared" si="10"/>
        <v>0</v>
      </c>
      <c r="X9" s="4">
        <f t="shared" si="11"/>
        <v>0</v>
      </c>
      <c r="Y9" s="4">
        <f t="shared" si="12"/>
        <v>0</v>
      </c>
    </row>
    <row r="10" spans="1:25" ht="27" hidden="1" customHeight="1" x14ac:dyDescent="0.15">
      <c r="A10" s="1">
        <v>8</v>
      </c>
      <c r="B10" s="1" t="s">
        <v>214</v>
      </c>
      <c r="C10" s="1">
        <v>8</v>
      </c>
      <c r="G10" s="96" t="str">
        <f t="shared" si="0"/>
        <v>X8</v>
      </c>
      <c r="H10" s="2" t="s">
        <v>6</v>
      </c>
      <c r="I10" s="11"/>
      <c r="K10" s="1" t="s">
        <v>107</v>
      </c>
      <c r="L10" s="1">
        <f t="shared" si="1"/>
        <v>255</v>
      </c>
      <c r="M10" s="1">
        <f t="shared" si="2"/>
        <v>222</v>
      </c>
      <c r="N10" s="1">
        <f t="shared" si="3"/>
        <v>0</v>
      </c>
      <c r="O10" s="97">
        <f t="shared" si="4"/>
        <v>0</v>
      </c>
      <c r="P10" s="97">
        <f t="shared" si="4"/>
        <v>0.12941176470588237</v>
      </c>
      <c r="Q10" s="97">
        <f t="shared" si="4"/>
        <v>1</v>
      </c>
      <c r="R10" s="4">
        <f t="shared" si="5"/>
        <v>0</v>
      </c>
      <c r="S10" s="4">
        <f t="shared" si="6"/>
        <v>0.12941176470588237</v>
      </c>
      <c r="T10" s="4">
        <f t="shared" si="7"/>
        <v>1</v>
      </c>
      <c r="U10" s="4">
        <f t="shared" si="8"/>
        <v>0</v>
      </c>
      <c r="V10" s="4">
        <f t="shared" si="9"/>
        <v>0</v>
      </c>
      <c r="W10" s="4">
        <f t="shared" si="10"/>
        <v>0</v>
      </c>
      <c r="X10" s="4">
        <f t="shared" si="11"/>
        <v>0</v>
      </c>
      <c r="Y10" s="4">
        <f t="shared" si="12"/>
        <v>0</v>
      </c>
    </row>
    <row r="11" spans="1:25" ht="27" hidden="1" customHeight="1" x14ac:dyDescent="0.15">
      <c r="A11" s="1">
        <v>9</v>
      </c>
      <c r="B11" s="1" t="s">
        <v>214</v>
      </c>
      <c r="C11" s="1">
        <v>9</v>
      </c>
      <c r="G11" s="96" t="str">
        <f t="shared" si="0"/>
        <v>X9</v>
      </c>
      <c r="H11" s="2" t="s">
        <v>7</v>
      </c>
      <c r="I11" s="12"/>
      <c r="K11" s="1" t="s">
        <v>108</v>
      </c>
      <c r="L11" s="1">
        <f t="shared" si="1"/>
        <v>116</v>
      </c>
      <c r="M11" s="1">
        <f t="shared" si="2"/>
        <v>55</v>
      </c>
      <c r="N11" s="1">
        <f t="shared" si="3"/>
        <v>47</v>
      </c>
      <c r="O11" s="97">
        <f t="shared" si="4"/>
        <v>0.54509803921568623</v>
      </c>
      <c r="P11" s="97">
        <f t="shared" si="4"/>
        <v>0.78431372549019607</v>
      </c>
      <c r="Q11" s="97">
        <f t="shared" si="4"/>
        <v>0.81568627450980391</v>
      </c>
      <c r="R11" s="4">
        <f t="shared" si="5"/>
        <v>0</v>
      </c>
      <c r="S11" s="4">
        <f t="shared" si="6"/>
        <v>0.52586206896551724</v>
      </c>
      <c r="T11" s="4">
        <f t="shared" si="7"/>
        <v>0.59482758620689657</v>
      </c>
      <c r="U11" s="4">
        <f t="shared" si="8"/>
        <v>0.54509803921568623</v>
      </c>
      <c r="V11" s="4">
        <f t="shared" si="9"/>
        <v>0</v>
      </c>
      <c r="W11" s="4">
        <f t="shared" si="10"/>
        <v>0</v>
      </c>
      <c r="X11" s="4">
        <f t="shared" si="11"/>
        <v>0</v>
      </c>
      <c r="Y11" s="4">
        <f t="shared" si="12"/>
        <v>0</v>
      </c>
    </row>
    <row r="12" spans="1:25" ht="27" hidden="1" customHeight="1" x14ac:dyDescent="0.15">
      <c r="A12" s="1">
        <v>10</v>
      </c>
      <c r="B12" s="1" t="s">
        <v>214</v>
      </c>
      <c r="C12" s="1">
        <v>10</v>
      </c>
      <c r="G12" s="96" t="str">
        <f t="shared" si="0"/>
        <v>X10</v>
      </c>
      <c r="H12" s="2" t="s">
        <v>8</v>
      </c>
      <c r="I12" s="13"/>
      <c r="K12" s="1" t="s">
        <v>197</v>
      </c>
      <c r="L12" s="1">
        <f t="shared" si="1"/>
        <v>89</v>
      </c>
      <c r="M12" s="1">
        <f t="shared" si="2"/>
        <v>87</v>
      </c>
      <c r="N12" s="1">
        <f t="shared" si="3"/>
        <v>87</v>
      </c>
      <c r="O12" s="97">
        <f t="shared" si="4"/>
        <v>0.65098039215686276</v>
      </c>
      <c r="P12" s="97">
        <f t="shared" si="4"/>
        <v>0.6588235294117647</v>
      </c>
      <c r="Q12" s="97">
        <f t="shared" si="4"/>
        <v>0.6588235294117647</v>
      </c>
      <c r="R12" s="4">
        <f t="shared" si="5"/>
        <v>0</v>
      </c>
      <c r="S12" s="4">
        <f t="shared" si="6"/>
        <v>2.2471910112359474E-2</v>
      </c>
      <c r="T12" s="4">
        <f t="shared" si="7"/>
        <v>2.2471910112359474E-2</v>
      </c>
      <c r="U12" s="4">
        <f t="shared" si="8"/>
        <v>0.65098039215686276</v>
      </c>
      <c r="V12" s="4">
        <f t="shared" si="9"/>
        <v>0</v>
      </c>
      <c r="W12" s="4">
        <f t="shared" si="10"/>
        <v>0</v>
      </c>
      <c r="X12" s="4">
        <f t="shared" si="11"/>
        <v>0</v>
      </c>
      <c r="Y12" s="4">
        <f t="shared" si="12"/>
        <v>0</v>
      </c>
    </row>
    <row r="13" spans="1:25" ht="25.5" hidden="1" customHeight="1" x14ac:dyDescent="0.15">
      <c r="A13" s="1">
        <v>11</v>
      </c>
      <c r="B13" s="1" t="s">
        <v>214</v>
      </c>
      <c r="C13" s="1">
        <v>11</v>
      </c>
      <c r="E13" s="1" t="s">
        <v>220</v>
      </c>
      <c r="G13" s="96" t="str">
        <f t="shared" si="0"/>
        <v>X11</v>
      </c>
      <c r="H13" s="2" t="s">
        <v>9</v>
      </c>
      <c r="I13" s="14"/>
      <c r="K13" s="1" t="s">
        <v>109</v>
      </c>
      <c r="L13" s="1">
        <f t="shared" si="1"/>
        <v>214</v>
      </c>
      <c r="M13" s="1">
        <f t="shared" si="2"/>
        <v>215</v>
      </c>
      <c r="N13" s="1">
        <f t="shared" si="3"/>
        <v>215</v>
      </c>
      <c r="O13" s="97">
        <f t="shared" si="4"/>
        <v>0.16078431372549021</v>
      </c>
      <c r="P13" s="97">
        <f t="shared" si="4"/>
        <v>0.15686274509803921</v>
      </c>
      <c r="Q13" s="97">
        <f t="shared" si="4"/>
        <v>0.15686274509803921</v>
      </c>
      <c r="R13" s="4">
        <f t="shared" si="5"/>
        <v>4.6511627906976908E-3</v>
      </c>
      <c r="S13" s="4">
        <f t="shared" si="6"/>
        <v>0</v>
      </c>
      <c r="T13" s="4">
        <f t="shared" si="7"/>
        <v>0</v>
      </c>
      <c r="U13" s="4">
        <f t="shared" si="8"/>
        <v>0.15686274509803921</v>
      </c>
      <c r="V13" s="4">
        <f t="shared" si="9"/>
        <v>0</v>
      </c>
      <c r="W13" s="4">
        <f t="shared" si="10"/>
        <v>0</v>
      </c>
      <c r="X13" s="4">
        <f t="shared" si="11"/>
        <v>0</v>
      </c>
      <c r="Y13" s="4">
        <f t="shared" si="12"/>
        <v>0</v>
      </c>
    </row>
    <row r="14" spans="1:25" ht="25.5" hidden="1" customHeight="1" x14ac:dyDescent="0.15">
      <c r="A14" s="1">
        <v>12</v>
      </c>
      <c r="B14" s="1" t="s">
        <v>214</v>
      </c>
      <c r="C14" s="1">
        <v>12</v>
      </c>
      <c r="E14" s="1" t="s">
        <v>216</v>
      </c>
      <c r="G14" s="96" t="str">
        <f t="shared" si="0"/>
        <v>X12</v>
      </c>
      <c r="H14" s="2" t="s">
        <v>10</v>
      </c>
      <c r="I14" s="15"/>
      <c r="K14" s="1" t="s">
        <v>110</v>
      </c>
      <c r="L14" s="1">
        <f t="shared" si="1"/>
        <v>205</v>
      </c>
      <c r="M14" s="1">
        <f t="shared" si="2"/>
        <v>167</v>
      </c>
      <c r="N14" s="1">
        <f t="shared" si="3"/>
        <v>1</v>
      </c>
      <c r="O14" s="97">
        <f t="shared" si="4"/>
        <v>0.19607843137254902</v>
      </c>
      <c r="P14" s="97">
        <f t="shared" si="4"/>
        <v>0.34509803921568627</v>
      </c>
      <c r="Q14" s="97">
        <f t="shared" si="4"/>
        <v>0.99607843137254903</v>
      </c>
      <c r="R14" s="4">
        <f t="shared" si="5"/>
        <v>0</v>
      </c>
      <c r="S14" s="4">
        <f t="shared" si="6"/>
        <v>0.18536585365853658</v>
      </c>
      <c r="T14" s="4">
        <f t="shared" si="7"/>
        <v>0.99512195121951219</v>
      </c>
      <c r="U14" s="4">
        <f t="shared" si="8"/>
        <v>0.19607843137254902</v>
      </c>
      <c r="V14" s="4">
        <f t="shared" si="9"/>
        <v>0</v>
      </c>
      <c r="W14" s="4">
        <f t="shared" si="10"/>
        <v>0</v>
      </c>
      <c r="X14" s="4">
        <f t="shared" si="11"/>
        <v>0</v>
      </c>
      <c r="Y14" s="4">
        <f t="shared" si="12"/>
        <v>0</v>
      </c>
    </row>
    <row r="15" spans="1:25" ht="27" hidden="1" customHeight="1" x14ac:dyDescent="0.15">
      <c r="A15" s="1">
        <v>13</v>
      </c>
      <c r="B15" s="1" t="s">
        <v>214</v>
      </c>
      <c r="C15" s="1">
        <v>13</v>
      </c>
      <c r="G15" s="96" t="str">
        <f t="shared" si="0"/>
        <v>X13</v>
      </c>
      <c r="H15" s="2" t="s">
        <v>11</v>
      </c>
      <c r="I15" s="16"/>
      <c r="K15" s="1" t="s">
        <v>111</v>
      </c>
      <c r="L15" s="1">
        <f t="shared" si="1"/>
        <v>0</v>
      </c>
      <c r="M15" s="1">
        <f t="shared" si="2"/>
        <v>97</v>
      </c>
      <c r="N15" s="1">
        <f t="shared" si="3"/>
        <v>137</v>
      </c>
      <c r="O15" s="97">
        <f t="shared" si="4"/>
        <v>1</v>
      </c>
      <c r="P15" s="97">
        <f t="shared" si="4"/>
        <v>0.61960784313725492</v>
      </c>
      <c r="Q15" s="97">
        <f t="shared" si="4"/>
        <v>0.46274509803921571</v>
      </c>
      <c r="R15" s="4">
        <f t="shared" si="5"/>
        <v>1</v>
      </c>
      <c r="S15" s="4">
        <f t="shared" si="6"/>
        <v>0.29197080291970806</v>
      </c>
      <c r="T15" s="4">
        <f t="shared" si="7"/>
        <v>0</v>
      </c>
      <c r="U15" s="4">
        <f t="shared" si="8"/>
        <v>0.46274509803921571</v>
      </c>
      <c r="V15" s="4">
        <f t="shared" si="9"/>
        <v>0</v>
      </c>
      <c r="W15" s="4">
        <f t="shared" si="10"/>
        <v>0</v>
      </c>
      <c r="X15" s="4">
        <f t="shared" si="11"/>
        <v>0</v>
      </c>
      <c r="Y15" s="4">
        <f t="shared" si="12"/>
        <v>0</v>
      </c>
    </row>
    <row r="16" spans="1:25" ht="27" hidden="1" customHeight="1" x14ac:dyDescent="0.15">
      <c r="A16" s="1">
        <v>14</v>
      </c>
      <c r="B16" s="1" t="s">
        <v>214</v>
      </c>
      <c r="C16" s="1">
        <v>14</v>
      </c>
      <c r="G16" s="96" t="str">
        <f t="shared" si="0"/>
        <v>X14</v>
      </c>
      <c r="H16" s="2" t="s">
        <v>12</v>
      </c>
      <c r="I16" s="17"/>
      <c r="K16" s="1" t="s">
        <v>112</v>
      </c>
      <c r="L16" s="1">
        <f t="shared" si="1"/>
        <v>0</v>
      </c>
      <c r="M16" s="1">
        <f t="shared" si="2"/>
        <v>166</v>
      </c>
      <c r="N16" s="1">
        <f t="shared" si="3"/>
        <v>234</v>
      </c>
      <c r="O16" s="97">
        <f t="shared" si="4"/>
        <v>1</v>
      </c>
      <c r="P16" s="97">
        <f t="shared" si="4"/>
        <v>0.34901960784313724</v>
      </c>
      <c r="Q16" s="97">
        <f t="shared" si="4"/>
        <v>8.2352941176470587E-2</v>
      </c>
      <c r="R16" s="4">
        <f t="shared" si="5"/>
        <v>1</v>
      </c>
      <c r="S16" s="4">
        <f t="shared" si="6"/>
        <v>0.29059829059829062</v>
      </c>
      <c r="T16" s="4">
        <f t="shared" si="7"/>
        <v>0</v>
      </c>
      <c r="U16" s="4">
        <f t="shared" si="8"/>
        <v>8.2352941176470587E-2</v>
      </c>
      <c r="V16" s="4">
        <f t="shared" si="9"/>
        <v>0</v>
      </c>
      <c r="W16" s="4">
        <f t="shared" si="10"/>
        <v>0</v>
      </c>
      <c r="X16" s="4">
        <f t="shared" si="11"/>
        <v>0</v>
      </c>
      <c r="Y16" s="4">
        <f t="shared" si="12"/>
        <v>0</v>
      </c>
    </row>
    <row r="17" spans="1:25" ht="27" hidden="1" customHeight="1" x14ac:dyDescent="0.15">
      <c r="A17" s="1">
        <v>15</v>
      </c>
      <c r="B17" s="1" t="s">
        <v>214</v>
      </c>
      <c r="C17" s="1">
        <v>15</v>
      </c>
      <c r="G17" s="96" t="str">
        <f t="shared" si="0"/>
        <v>X15</v>
      </c>
      <c r="H17" s="2" t="s">
        <v>13</v>
      </c>
      <c r="I17" s="18"/>
      <c r="K17" s="1" t="s">
        <v>113</v>
      </c>
      <c r="L17" s="1">
        <f t="shared" si="1"/>
        <v>114</v>
      </c>
      <c r="M17" s="1">
        <f t="shared" si="2"/>
        <v>187</v>
      </c>
      <c r="N17" s="1">
        <f t="shared" si="3"/>
        <v>42</v>
      </c>
      <c r="O17" s="97">
        <f t="shared" si="4"/>
        <v>0.55294117647058827</v>
      </c>
      <c r="P17" s="97">
        <f t="shared" si="4"/>
        <v>0.26666666666666666</v>
      </c>
      <c r="Q17" s="97">
        <f t="shared" si="4"/>
        <v>0.83529411764705885</v>
      </c>
      <c r="R17" s="4">
        <f t="shared" si="5"/>
        <v>0.39037433155080214</v>
      </c>
      <c r="S17" s="4">
        <f t="shared" si="6"/>
        <v>0</v>
      </c>
      <c r="T17" s="4">
        <f t="shared" si="7"/>
        <v>0.77540106951871646</v>
      </c>
      <c r="U17" s="4">
        <f t="shared" si="8"/>
        <v>0.26666666666666666</v>
      </c>
      <c r="V17" s="4">
        <f t="shared" si="9"/>
        <v>0</v>
      </c>
      <c r="W17" s="4">
        <f t="shared" si="10"/>
        <v>0</v>
      </c>
      <c r="X17" s="4">
        <f t="shared" si="11"/>
        <v>0</v>
      </c>
      <c r="Y17" s="4">
        <f t="shared" si="12"/>
        <v>0</v>
      </c>
    </row>
    <row r="18" spans="1:25" ht="27" hidden="1" customHeight="1" x14ac:dyDescent="0.15">
      <c r="A18" s="1">
        <v>16</v>
      </c>
      <c r="B18" s="1" t="s">
        <v>214</v>
      </c>
      <c r="C18" s="1">
        <v>16</v>
      </c>
      <c r="G18" s="96" t="str">
        <f t="shared" si="0"/>
        <v>X16</v>
      </c>
      <c r="H18" s="2" t="s">
        <v>14</v>
      </c>
      <c r="I18" s="19"/>
      <c r="K18" s="1" t="s">
        <v>114</v>
      </c>
      <c r="L18" s="1">
        <f t="shared" si="1"/>
        <v>87</v>
      </c>
      <c r="M18" s="1">
        <f t="shared" si="2"/>
        <v>74</v>
      </c>
      <c r="N18" s="1">
        <f t="shared" si="3"/>
        <v>143</v>
      </c>
      <c r="O18" s="97">
        <f t="shared" si="4"/>
        <v>0.6588235294117647</v>
      </c>
      <c r="P18" s="97">
        <f t="shared" si="4"/>
        <v>0.70980392156862748</v>
      </c>
      <c r="Q18" s="97">
        <f t="shared" si="4"/>
        <v>0.4392156862745098</v>
      </c>
      <c r="R18" s="4">
        <f t="shared" si="5"/>
        <v>0.39160839160839161</v>
      </c>
      <c r="S18" s="4">
        <f t="shared" si="6"/>
        <v>0.48251748251748255</v>
      </c>
      <c r="T18" s="4">
        <f t="shared" si="7"/>
        <v>0</v>
      </c>
      <c r="U18" s="4">
        <f t="shared" si="8"/>
        <v>0.4392156862745098</v>
      </c>
      <c r="V18" s="4">
        <f t="shared" si="9"/>
        <v>0</v>
      </c>
      <c r="W18" s="4">
        <f t="shared" si="10"/>
        <v>0</v>
      </c>
      <c r="X18" s="4">
        <f t="shared" si="11"/>
        <v>0</v>
      </c>
      <c r="Y18" s="4">
        <f t="shared" si="12"/>
        <v>0</v>
      </c>
    </row>
    <row r="19" spans="1:25" ht="27" hidden="1" customHeight="1" x14ac:dyDescent="0.15">
      <c r="A19" s="1">
        <v>17</v>
      </c>
      <c r="B19" s="1" t="s">
        <v>214</v>
      </c>
      <c r="C19" s="1">
        <v>17</v>
      </c>
      <c r="G19" s="96" t="str">
        <f t="shared" si="0"/>
        <v>X17</v>
      </c>
      <c r="H19" s="2" t="s">
        <v>15</v>
      </c>
      <c r="I19" s="20"/>
      <c r="K19" s="1" t="s">
        <v>115</v>
      </c>
      <c r="L19" s="1">
        <f t="shared" si="1"/>
        <v>237</v>
      </c>
      <c r="M19" s="1">
        <f t="shared" si="2"/>
        <v>132</v>
      </c>
      <c r="N19" s="1">
        <f t="shared" si="3"/>
        <v>178</v>
      </c>
      <c r="O19" s="97">
        <f t="shared" si="4"/>
        <v>7.0588235294117646E-2</v>
      </c>
      <c r="P19" s="97">
        <f t="shared" si="4"/>
        <v>0.4823529411764706</v>
      </c>
      <c r="Q19" s="97">
        <f t="shared" si="4"/>
        <v>0.30196078431372547</v>
      </c>
      <c r="R19" s="4">
        <f t="shared" si="5"/>
        <v>0</v>
      </c>
      <c r="S19" s="4">
        <f t="shared" si="6"/>
        <v>0.44303797468354428</v>
      </c>
      <c r="T19" s="4">
        <f t="shared" si="7"/>
        <v>0.24894514767932488</v>
      </c>
      <c r="U19" s="4">
        <f t="shared" si="8"/>
        <v>7.0588235294117646E-2</v>
      </c>
      <c r="V19" s="4">
        <f t="shared" si="9"/>
        <v>0</v>
      </c>
      <c r="W19" s="4">
        <f t="shared" si="10"/>
        <v>0</v>
      </c>
      <c r="X19" s="4">
        <f t="shared" si="11"/>
        <v>0</v>
      </c>
      <c r="Y19" s="4">
        <f t="shared" si="12"/>
        <v>0</v>
      </c>
    </row>
    <row r="20" spans="1:25" ht="27" hidden="1" customHeight="1" x14ac:dyDescent="0.15">
      <c r="A20" s="1">
        <v>18</v>
      </c>
      <c r="B20" s="1" t="s">
        <v>214</v>
      </c>
      <c r="C20" s="1">
        <v>18</v>
      </c>
      <c r="G20" s="96" t="str">
        <f t="shared" si="0"/>
        <v>X18</v>
      </c>
      <c r="H20" s="2" t="s">
        <v>16</v>
      </c>
      <c r="I20" s="3"/>
      <c r="K20" s="1" t="s">
        <v>100</v>
      </c>
      <c r="L20" s="1">
        <f t="shared" si="1"/>
        <v>35</v>
      </c>
      <c r="M20" s="1">
        <f t="shared" si="2"/>
        <v>25</v>
      </c>
      <c r="N20" s="1">
        <f t="shared" si="3"/>
        <v>22</v>
      </c>
      <c r="O20" s="97">
        <f t="shared" si="4"/>
        <v>0.86274509803921573</v>
      </c>
      <c r="P20" s="97">
        <f t="shared" si="4"/>
        <v>0.90196078431372551</v>
      </c>
      <c r="Q20" s="97">
        <f t="shared" si="4"/>
        <v>0.9137254901960784</v>
      </c>
      <c r="R20" s="4">
        <f t="shared" si="5"/>
        <v>0</v>
      </c>
      <c r="S20" s="4">
        <f t="shared" si="6"/>
        <v>0.28571428571428559</v>
      </c>
      <c r="T20" s="4">
        <f t="shared" si="7"/>
        <v>0.37142857142857105</v>
      </c>
      <c r="U20" s="4">
        <f t="shared" si="8"/>
        <v>0.86274509803921573</v>
      </c>
      <c r="V20" s="4">
        <f t="shared" si="9"/>
        <v>0</v>
      </c>
      <c r="W20" s="4">
        <f t="shared" si="10"/>
        <v>0</v>
      </c>
      <c r="X20" s="4">
        <f t="shared" si="11"/>
        <v>0</v>
      </c>
      <c r="Y20" s="4">
        <f t="shared" si="12"/>
        <v>0</v>
      </c>
    </row>
    <row r="21" spans="1:25" ht="25.5" hidden="1" customHeight="1" x14ac:dyDescent="0.15">
      <c r="A21" s="1">
        <v>19</v>
      </c>
      <c r="B21" s="1" t="s">
        <v>214</v>
      </c>
      <c r="C21" s="1">
        <v>19</v>
      </c>
      <c r="E21" s="1" t="s">
        <v>210</v>
      </c>
      <c r="G21" s="96" t="str">
        <f t="shared" si="0"/>
        <v>X19</v>
      </c>
      <c r="H21" s="2" t="s">
        <v>17</v>
      </c>
      <c r="I21" s="21"/>
      <c r="K21" s="1" t="s">
        <v>116</v>
      </c>
      <c r="L21" s="1">
        <f t="shared" si="1"/>
        <v>199</v>
      </c>
      <c r="M21" s="1">
        <f t="shared" si="2"/>
        <v>200</v>
      </c>
      <c r="N21" s="1">
        <f t="shared" si="3"/>
        <v>200</v>
      </c>
      <c r="O21" s="97">
        <f t="shared" si="4"/>
        <v>0.2196078431372549</v>
      </c>
      <c r="P21" s="97">
        <f t="shared" si="4"/>
        <v>0.21568627450980393</v>
      </c>
      <c r="Q21" s="97">
        <f t="shared" si="4"/>
        <v>0.21568627450980393</v>
      </c>
      <c r="R21" s="4">
        <f t="shared" si="5"/>
        <v>4.9999999999999819E-3</v>
      </c>
      <c r="S21" s="4">
        <f t="shared" si="6"/>
        <v>0</v>
      </c>
      <c r="T21" s="4">
        <f t="shared" si="7"/>
        <v>0</v>
      </c>
      <c r="U21" s="4">
        <f t="shared" si="8"/>
        <v>0.21568627450980393</v>
      </c>
      <c r="V21" s="4">
        <f t="shared" si="9"/>
        <v>0</v>
      </c>
      <c r="W21" s="4">
        <f t="shared" si="10"/>
        <v>0</v>
      </c>
      <c r="X21" s="4">
        <f t="shared" si="11"/>
        <v>0</v>
      </c>
      <c r="Y21" s="4">
        <f t="shared" si="12"/>
        <v>0</v>
      </c>
    </row>
    <row r="22" spans="1:25" ht="25.5" hidden="1" customHeight="1" x14ac:dyDescent="0.15">
      <c r="A22" s="1">
        <v>20</v>
      </c>
      <c r="B22" s="1" t="s">
        <v>214</v>
      </c>
      <c r="C22" s="1">
        <v>20</v>
      </c>
      <c r="E22" s="1" t="s">
        <v>213</v>
      </c>
      <c r="G22" s="96" t="str">
        <f t="shared" si="0"/>
        <v>X20</v>
      </c>
      <c r="H22" s="2" t="s">
        <v>19</v>
      </c>
      <c r="I22" s="5"/>
      <c r="K22" s="1" t="s">
        <v>101</v>
      </c>
      <c r="L22" s="1">
        <f t="shared" si="1"/>
        <v>255</v>
      </c>
      <c r="M22" s="1">
        <f t="shared" si="2"/>
        <v>255</v>
      </c>
      <c r="N22" s="1">
        <f t="shared" si="3"/>
        <v>255</v>
      </c>
      <c r="O22" s="97">
        <f t="shared" si="4"/>
        <v>0</v>
      </c>
      <c r="P22" s="97">
        <f t="shared" si="4"/>
        <v>0</v>
      </c>
      <c r="Q22" s="97">
        <f t="shared" si="4"/>
        <v>0</v>
      </c>
      <c r="R22" s="4">
        <f t="shared" si="5"/>
        <v>0</v>
      </c>
      <c r="S22" s="4">
        <f t="shared" si="6"/>
        <v>0</v>
      </c>
      <c r="T22" s="4">
        <f t="shared" si="7"/>
        <v>0</v>
      </c>
      <c r="U22" s="4">
        <f t="shared" si="8"/>
        <v>0</v>
      </c>
      <c r="V22" s="4">
        <f t="shared" si="9"/>
        <v>0</v>
      </c>
      <c r="W22" s="4">
        <f t="shared" si="10"/>
        <v>0</v>
      </c>
      <c r="X22" s="4">
        <f t="shared" si="11"/>
        <v>0</v>
      </c>
      <c r="Y22" s="4">
        <f t="shared" si="12"/>
        <v>0</v>
      </c>
    </row>
    <row r="23" spans="1:25" ht="25.5" hidden="1" customHeight="1" x14ac:dyDescent="0.15">
      <c r="A23" s="1">
        <v>21</v>
      </c>
      <c r="B23" s="1" t="s">
        <v>214</v>
      </c>
      <c r="C23" s="1">
        <v>20</v>
      </c>
      <c r="D23" s="2" t="s">
        <v>99</v>
      </c>
      <c r="E23" s="1" t="s">
        <v>213</v>
      </c>
      <c r="G23" s="96" t="str">
        <f t="shared" si="0"/>
        <v>X20A</v>
      </c>
      <c r="H23" s="2" t="s">
        <v>18</v>
      </c>
      <c r="I23" s="5"/>
      <c r="K23" s="1" t="s">
        <v>101</v>
      </c>
      <c r="L23" s="1">
        <f t="shared" si="1"/>
        <v>255</v>
      </c>
      <c r="M23" s="1">
        <f t="shared" si="2"/>
        <v>255</v>
      </c>
      <c r="N23" s="1">
        <f t="shared" si="3"/>
        <v>255</v>
      </c>
      <c r="O23" s="97">
        <f t="shared" si="4"/>
        <v>0</v>
      </c>
      <c r="P23" s="97">
        <f t="shared" si="4"/>
        <v>0</v>
      </c>
      <c r="Q23" s="97">
        <f t="shared" si="4"/>
        <v>0</v>
      </c>
      <c r="R23" s="4">
        <f t="shared" si="5"/>
        <v>0</v>
      </c>
      <c r="S23" s="4">
        <f t="shared" si="6"/>
        <v>0</v>
      </c>
      <c r="T23" s="4">
        <f t="shared" si="7"/>
        <v>0</v>
      </c>
      <c r="U23" s="4">
        <f t="shared" si="8"/>
        <v>0</v>
      </c>
      <c r="V23" s="4">
        <f t="shared" si="9"/>
        <v>0</v>
      </c>
      <c r="W23" s="4">
        <f t="shared" si="10"/>
        <v>0</v>
      </c>
      <c r="X23" s="4">
        <f t="shared" si="11"/>
        <v>0</v>
      </c>
      <c r="Y23" s="4">
        <f t="shared" si="12"/>
        <v>0</v>
      </c>
    </row>
    <row r="24" spans="1:25" ht="25.5" hidden="1" customHeight="1" x14ac:dyDescent="0.15">
      <c r="A24" s="1">
        <v>22</v>
      </c>
      <c r="B24" s="1" t="s">
        <v>214</v>
      </c>
      <c r="C24" s="1">
        <v>21</v>
      </c>
      <c r="E24" s="1" t="s">
        <v>211</v>
      </c>
      <c r="G24" s="96" t="str">
        <f t="shared" si="0"/>
        <v>X21</v>
      </c>
      <c r="H24" s="2" t="s">
        <v>20</v>
      </c>
      <c r="I24" s="5"/>
      <c r="K24" s="1" t="s">
        <v>101</v>
      </c>
      <c r="L24" s="1">
        <f t="shared" si="1"/>
        <v>255</v>
      </c>
      <c r="M24" s="1">
        <f t="shared" si="2"/>
        <v>255</v>
      </c>
      <c r="N24" s="1">
        <f t="shared" si="3"/>
        <v>255</v>
      </c>
      <c r="O24" s="97">
        <f t="shared" si="4"/>
        <v>0</v>
      </c>
      <c r="P24" s="97">
        <f t="shared" si="4"/>
        <v>0</v>
      </c>
      <c r="Q24" s="97">
        <f t="shared" si="4"/>
        <v>0</v>
      </c>
      <c r="R24" s="4">
        <f t="shared" si="5"/>
        <v>0</v>
      </c>
      <c r="S24" s="4">
        <f t="shared" si="6"/>
        <v>0</v>
      </c>
      <c r="T24" s="4">
        <f t="shared" si="7"/>
        <v>0</v>
      </c>
      <c r="U24" s="4">
        <f t="shared" si="8"/>
        <v>0</v>
      </c>
      <c r="V24" s="4">
        <f t="shared" si="9"/>
        <v>0</v>
      </c>
      <c r="W24" s="4">
        <f t="shared" si="10"/>
        <v>0</v>
      </c>
      <c r="X24" s="4">
        <f t="shared" si="11"/>
        <v>0</v>
      </c>
      <c r="Y24" s="4">
        <f t="shared" si="12"/>
        <v>0</v>
      </c>
    </row>
    <row r="25" spans="1:25" ht="25.5" hidden="1" customHeight="1" x14ac:dyDescent="0.15">
      <c r="A25" s="1">
        <v>23</v>
      </c>
      <c r="B25" s="1" t="s">
        <v>214</v>
      </c>
      <c r="C25" s="1">
        <v>22</v>
      </c>
      <c r="E25" s="1" t="s">
        <v>211</v>
      </c>
      <c r="G25" s="96" t="str">
        <f t="shared" si="0"/>
        <v>X22</v>
      </c>
      <c r="H25" s="2" t="s">
        <v>21</v>
      </c>
      <c r="I25" s="5"/>
      <c r="K25" s="1" t="s">
        <v>101</v>
      </c>
      <c r="L25" s="1">
        <f t="shared" si="1"/>
        <v>255</v>
      </c>
      <c r="M25" s="1">
        <f t="shared" si="2"/>
        <v>255</v>
      </c>
      <c r="N25" s="1">
        <f t="shared" si="3"/>
        <v>255</v>
      </c>
      <c r="O25" s="97">
        <f t="shared" si="4"/>
        <v>0</v>
      </c>
      <c r="P25" s="97">
        <f t="shared" si="4"/>
        <v>0</v>
      </c>
      <c r="Q25" s="97">
        <f t="shared" si="4"/>
        <v>0</v>
      </c>
      <c r="R25" s="4">
        <f t="shared" si="5"/>
        <v>0</v>
      </c>
      <c r="S25" s="4">
        <f t="shared" si="6"/>
        <v>0</v>
      </c>
      <c r="T25" s="4">
        <f t="shared" si="7"/>
        <v>0</v>
      </c>
      <c r="U25" s="4">
        <f t="shared" si="8"/>
        <v>0</v>
      </c>
      <c r="V25" s="4">
        <f t="shared" si="9"/>
        <v>0</v>
      </c>
      <c r="W25" s="4">
        <f t="shared" si="10"/>
        <v>0</v>
      </c>
      <c r="X25" s="4">
        <f t="shared" si="11"/>
        <v>0</v>
      </c>
      <c r="Y25" s="4">
        <f t="shared" si="12"/>
        <v>0</v>
      </c>
    </row>
    <row r="26" spans="1:25" ht="25.5" hidden="1" customHeight="1" x14ac:dyDescent="0.15">
      <c r="A26" s="1">
        <v>24</v>
      </c>
      <c r="B26" s="1" t="s">
        <v>214</v>
      </c>
      <c r="C26" s="1">
        <v>23</v>
      </c>
      <c r="E26" s="1" t="s">
        <v>211</v>
      </c>
      <c r="G26" s="96" t="str">
        <f t="shared" si="0"/>
        <v>X23</v>
      </c>
      <c r="H26" s="2" t="s">
        <v>22</v>
      </c>
      <c r="I26" s="17"/>
      <c r="K26" s="1" t="s">
        <v>112</v>
      </c>
      <c r="L26" s="1">
        <f t="shared" si="1"/>
        <v>0</v>
      </c>
      <c r="M26" s="1">
        <f t="shared" si="2"/>
        <v>166</v>
      </c>
      <c r="N26" s="1">
        <f t="shared" si="3"/>
        <v>234</v>
      </c>
      <c r="O26" s="97">
        <f t="shared" si="4"/>
        <v>1</v>
      </c>
      <c r="P26" s="97">
        <f t="shared" si="4"/>
        <v>0.34901960784313724</v>
      </c>
      <c r="Q26" s="97">
        <f t="shared" si="4"/>
        <v>8.2352941176470587E-2</v>
      </c>
      <c r="R26" s="4">
        <f t="shared" si="5"/>
        <v>1</v>
      </c>
      <c r="S26" s="4">
        <f t="shared" si="6"/>
        <v>0.29059829059829062</v>
      </c>
      <c r="T26" s="4">
        <f t="shared" si="7"/>
        <v>0</v>
      </c>
      <c r="U26" s="4">
        <f t="shared" si="8"/>
        <v>8.2352941176470587E-2</v>
      </c>
      <c r="V26" s="4">
        <f t="shared" si="9"/>
        <v>0</v>
      </c>
      <c r="W26" s="4">
        <f t="shared" si="10"/>
        <v>0</v>
      </c>
      <c r="X26" s="4">
        <f t="shared" si="11"/>
        <v>0</v>
      </c>
      <c r="Y26" s="4">
        <f t="shared" si="12"/>
        <v>0</v>
      </c>
    </row>
    <row r="27" spans="1:25" ht="25.5" hidden="1" customHeight="1" x14ac:dyDescent="0.15">
      <c r="A27" s="1">
        <v>25</v>
      </c>
      <c r="B27" s="1" t="s">
        <v>214</v>
      </c>
      <c r="C27" s="1">
        <v>24</v>
      </c>
      <c r="E27" s="1" t="s">
        <v>211</v>
      </c>
      <c r="G27" s="96" t="str">
        <f t="shared" si="0"/>
        <v>X24</v>
      </c>
      <c r="H27" s="2" t="s">
        <v>23</v>
      </c>
      <c r="I27" s="22"/>
      <c r="K27" s="1" t="s">
        <v>117</v>
      </c>
      <c r="L27" s="1">
        <f t="shared" si="1"/>
        <v>255</v>
      </c>
      <c r="M27" s="1">
        <f t="shared" si="2"/>
        <v>228</v>
      </c>
      <c r="N27" s="1">
        <f t="shared" si="3"/>
        <v>0</v>
      </c>
      <c r="O27" s="97">
        <f t="shared" si="4"/>
        <v>0</v>
      </c>
      <c r="P27" s="97">
        <f t="shared" si="4"/>
        <v>0.10588235294117647</v>
      </c>
      <c r="Q27" s="97">
        <f t="shared" si="4"/>
        <v>1</v>
      </c>
      <c r="R27" s="4">
        <f t="shared" si="5"/>
        <v>0</v>
      </c>
      <c r="S27" s="4">
        <f t="shared" si="6"/>
        <v>0.10588235294117647</v>
      </c>
      <c r="T27" s="4">
        <f t="shared" si="7"/>
        <v>1</v>
      </c>
      <c r="U27" s="4">
        <f t="shared" si="8"/>
        <v>0</v>
      </c>
      <c r="V27" s="4">
        <f t="shared" si="9"/>
        <v>0</v>
      </c>
      <c r="W27" s="4">
        <f t="shared" si="10"/>
        <v>0</v>
      </c>
      <c r="X27" s="4">
        <f t="shared" si="11"/>
        <v>0</v>
      </c>
      <c r="Y27" s="4">
        <f t="shared" si="12"/>
        <v>0</v>
      </c>
    </row>
    <row r="28" spans="1:25" ht="25.5" hidden="1" customHeight="1" x14ac:dyDescent="0.15">
      <c r="A28" s="1">
        <v>26</v>
      </c>
      <c r="B28" s="1" t="s">
        <v>214</v>
      </c>
      <c r="C28" s="1">
        <v>25</v>
      </c>
      <c r="E28" s="1" t="s">
        <v>211</v>
      </c>
      <c r="G28" s="96" t="str">
        <f t="shared" si="0"/>
        <v>X25</v>
      </c>
      <c r="H28" s="2" t="s">
        <v>28</v>
      </c>
      <c r="I28" s="23"/>
      <c r="K28" s="1" t="s">
        <v>118</v>
      </c>
      <c r="L28" s="1">
        <f t="shared" si="1"/>
        <v>0</v>
      </c>
      <c r="M28" s="1">
        <f t="shared" si="2"/>
        <v>158</v>
      </c>
      <c r="N28" s="1">
        <f t="shared" si="3"/>
        <v>65</v>
      </c>
      <c r="O28" s="97">
        <f t="shared" si="4"/>
        <v>1</v>
      </c>
      <c r="P28" s="97">
        <f t="shared" si="4"/>
        <v>0.38039215686274508</v>
      </c>
      <c r="Q28" s="97">
        <f t="shared" si="4"/>
        <v>0.74509803921568629</v>
      </c>
      <c r="R28" s="4">
        <f t="shared" si="5"/>
        <v>1</v>
      </c>
      <c r="S28" s="4">
        <f t="shared" si="6"/>
        <v>0</v>
      </c>
      <c r="T28" s="4">
        <f t="shared" si="7"/>
        <v>0.58860759493670889</v>
      </c>
      <c r="U28" s="4">
        <f t="shared" si="8"/>
        <v>0.38039215686274508</v>
      </c>
      <c r="V28" s="4">
        <f t="shared" si="9"/>
        <v>0</v>
      </c>
      <c r="W28" s="4">
        <f t="shared" si="10"/>
        <v>0</v>
      </c>
      <c r="X28" s="4">
        <f t="shared" si="11"/>
        <v>0</v>
      </c>
      <c r="Y28" s="4">
        <f t="shared" si="12"/>
        <v>0</v>
      </c>
    </row>
    <row r="29" spans="1:25" ht="25.5" hidden="1" customHeight="1" x14ac:dyDescent="0.15">
      <c r="A29" s="1">
        <v>27</v>
      </c>
      <c r="B29" s="1" t="s">
        <v>214</v>
      </c>
      <c r="C29" s="1">
        <v>26</v>
      </c>
      <c r="E29" s="1" t="s">
        <v>211</v>
      </c>
      <c r="G29" s="96" t="str">
        <f t="shared" si="0"/>
        <v>X26</v>
      </c>
      <c r="H29" s="2" t="s">
        <v>24</v>
      </c>
      <c r="I29" s="24"/>
      <c r="K29" s="1" t="s">
        <v>119</v>
      </c>
      <c r="L29" s="1">
        <f t="shared" si="1"/>
        <v>239</v>
      </c>
      <c r="M29" s="1">
        <f t="shared" si="2"/>
        <v>126</v>
      </c>
      <c r="N29" s="1">
        <f t="shared" si="3"/>
        <v>0</v>
      </c>
      <c r="O29" s="97">
        <f t="shared" si="4"/>
        <v>6.2745098039215685E-2</v>
      </c>
      <c r="P29" s="97">
        <f t="shared" si="4"/>
        <v>0.50588235294117645</v>
      </c>
      <c r="Q29" s="97">
        <f t="shared" si="4"/>
        <v>1</v>
      </c>
      <c r="R29" s="4">
        <f t="shared" si="5"/>
        <v>0</v>
      </c>
      <c r="S29" s="4">
        <f t="shared" si="6"/>
        <v>0.47280334728033468</v>
      </c>
      <c r="T29" s="4">
        <f t="shared" si="7"/>
        <v>1</v>
      </c>
      <c r="U29" s="4">
        <f t="shared" si="8"/>
        <v>6.2745098039215685E-2</v>
      </c>
      <c r="V29" s="4">
        <f t="shared" si="9"/>
        <v>0</v>
      </c>
      <c r="W29" s="4">
        <f t="shared" si="10"/>
        <v>0</v>
      </c>
      <c r="X29" s="4">
        <f t="shared" si="11"/>
        <v>0</v>
      </c>
      <c r="Y29" s="4">
        <f t="shared" si="12"/>
        <v>0</v>
      </c>
    </row>
    <row r="30" spans="1:25" ht="25.5" hidden="1" customHeight="1" x14ac:dyDescent="0.15">
      <c r="A30" s="1">
        <v>28</v>
      </c>
      <c r="B30" s="1" t="s">
        <v>214</v>
      </c>
      <c r="C30" s="1">
        <v>27</v>
      </c>
      <c r="E30" s="1" t="s">
        <v>211</v>
      </c>
      <c r="G30" s="96" t="str">
        <f t="shared" si="0"/>
        <v>X27</v>
      </c>
      <c r="H30" s="2" t="s">
        <v>25</v>
      </c>
      <c r="I30" s="25"/>
      <c r="K30" s="1" t="s">
        <v>120</v>
      </c>
      <c r="L30" s="1">
        <f t="shared" si="1"/>
        <v>230</v>
      </c>
      <c r="M30" s="1">
        <f t="shared" si="2"/>
        <v>0</v>
      </c>
      <c r="N30" s="1">
        <f t="shared" si="3"/>
        <v>57</v>
      </c>
      <c r="O30" s="97">
        <f t="shared" si="4"/>
        <v>9.8039215686274508E-2</v>
      </c>
      <c r="P30" s="97">
        <f t="shared" si="4"/>
        <v>1</v>
      </c>
      <c r="Q30" s="97">
        <f t="shared" si="4"/>
        <v>0.77647058823529413</v>
      </c>
      <c r="R30" s="4">
        <f t="shared" si="5"/>
        <v>0</v>
      </c>
      <c r="S30" s="4">
        <f t="shared" si="6"/>
        <v>1</v>
      </c>
      <c r="T30" s="4">
        <f t="shared" si="7"/>
        <v>0.75217391304347825</v>
      </c>
      <c r="U30" s="4">
        <f t="shared" si="8"/>
        <v>9.8039215686274508E-2</v>
      </c>
      <c r="V30" s="4">
        <f t="shared" si="9"/>
        <v>0</v>
      </c>
      <c r="W30" s="4">
        <f t="shared" si="10"/>
        <v>0</v>
      </c>
      <c r="X30" s="4">
        <f t="shared" si="11"/>
        <v>0</v>
      </c>
      <c r="Y30" s="4">
        <f t="shared" si="12"/>
        <v>0</v>
      </c>
    </row>
    <row r="31" spans="1:25" ht="27" hidden="1" customHeight="1" x14ac:dyDescent="0.15">
      <c r="A31" s="1">
        <v>29</v>
      </c>
      <c r="B31" s="1" t="s">
        <v>214</v>
      </c>
      <c r="C31" s="1">
        <v>28</v>
      </c>
      <c r="G31" s="96" t="str">
        <f t="shared" si="0"/>
        <v>X28</v>
      </c>
      <c r="H31" s="2" t="s">
        <v>26</v>
      </c>
      <c r="I31" s="26"/>
      <c r="K31" s="1" t="s">
        <v>121</v>
      </c>
      <c r="L31" s="1">
        <f t="shared" si="1"/>
        <v>0</v>
      </c>
      <c r="M31" s="1">
        <f t="shared" si="2"/>
        <v>153</v>
      </c>
      <c r="N31" s="1">
        <f t="shared" si="3"/>
        <v>68</v>
      </c>
      <c r="O31" s="97">
        <f t="shared" si="4"/>
        <v>1</v>
      </c>
      <c r="P31" s="97">
        <f t="shared" si="4"/>
        <v>0.4</v>
      </c>
      <c r="Q31" s="97">
        <f t="shared" si="4"/>
        <v>0.73333333333333328</v>
      </c>
      <c r="R31" s="4">
        <f t="shared" si="5"/>
        <v>1</v>
      </c>
      <c r="S31" s="4">
        <f t="shared" si="6"/>
        <v>0</v>
      </c>
      <c r="T31" s="4">
        <f t="shared" si="7"/>
        <v>0.55555555555555547</v>
      </c>
      <c r="U31" s="4">
        <f t="shared" si="8"/>
        <v>0.4</v>
      </c>
      <c r="V31" s="4">
        <f t="shared" si="9"/>
        <v>0</v>
      </c>
      <c r="W31" s="4">
        <f t="shared" si="10"/>
        <v>0</v>
      </c>
      <c r="X31" s="4">
        <f t="shared" si="11"/>
        <v>0</v>
      </c>
      <c r="Y31" s="4">
        <f t="shared" si="12"/>
        <v>0</v>
      </c>
    </row>
    <row r="32" spans="1:25" ht="25.5" hidden="1" customHeight="1" x14ac:dyDescent="0.15">
      <c r="A32" s="1">
        <v>30</v>
      </c>
      <c r="B32" s="1" t="s">
        <v>214</v>
      </c>
      <c r="C32" s="1">
        <v>31</v>
      </c>
      <c r="E32" s="1" t="s">
        <v>216</v>
      </c>
      <c r="G32" s="96" t="str">
        <f t="shared" si="0"/>
        <v>X31</v>
      </c>
      <c r="H32" s="2" t="s">
        <v>27</v>
      </c>
      <c r="I32" s="27"/>
      <c r="K32" s="1" t="s">
        <v>122</v>
      </c>
      <c r="L32" s="1">
        <f t="shared" si="1"/>
        <v>221</v>
      </c>
      <c r="M32" s="1">
        <f t="shared" si="2"/>
        <v>203</v>
      </c>
      <c r="N32" s="1">
        <f t="shared" si="3"/>
        <v>165</v>
      </c>
      <c r="O32" s="97">
        <f t="shared" si="4"/>
        <v>0.13333333333333333</v>
      </c>
      <c r="P32" s="97">
        <f t="shared" si="4"/>
        <v>0.20392156862745098</v>
      </c>
      <c r="Q32" s="97">
        <f t="shared" si="4"/>
        <v>0.35294117647058826</v>
      </c>
      <c r="R32" s="4">
        <f t="shared" si="5"/>
        <v>0</v>
      </c>
      <c r="S32" s="4">
        <f t="shared" si="6"/>
        <v>8.1447963800904979E-2</v>
      </c>
      <c r="T32" s="4">
        <f t="shared" si="7"/>
        <v>0.25339366515837108</v>
      </c>
      <c r="U32" s="4">
        <f t="shared" si="8"/>
        <v>0.13333333333333333</v>
      </c>
      <c r="V32" s="4">
        <f t="shared" si="9"/>
        <v>0</v>
      </c>
      <c r="W32" s="4">
        <f t="shared" si="10"/>
        <v>0</v>
      </c>
      <c r="X32" s="4">
        <f t="shared" si="11"/>
        <v>0</v>
      </c>
      <c r="Y32" s="4">
        <f t="shared" si="12"/>
        <v>0</v>
      </c>
    </row>
    <row r="33" spans="1:25" ht="25.5" hidden="1" customHeight="1" x14ac:dyDescent="0.15">
      <c r="A33" s="1">
        <v>31</v>
      </c>
      <c r="B33" s="1" t="s">
        <v>214</v>
      </c>
      <c r="C33" s="1">
        <v>32</v>
      </c>
      <c r="E33" s="1" t="s">
        <v>216</v>
      </c>
      <c r="G33" s="96" t="str">
        <f t="shared" si="0"/>
        <v>X32</v>
      </c>
      <c r="H33" s="2" t="s">
        <v>29</v>
      </c>
      <c r="I33" s="28"/>
      <c r="K33" s="1" t="s">
        <v>123</v>
      </c>
      <c r="L33" s="1">
        <f t="shared" si="1"/>
        <v>223</v>
      </c>
      <c r="M33" s="1">
        <f t="shared" si="2"/>
        <v>222</v>
      </c>
      <c r="N33" s="1">
        <f t="shared" si="3"/>
        <v>207</v>
      </c>
      <c r="O33" s="97">
        <f t="shared" si="4"/>
        <v>0.12549019607843137</v>
      </c>
      <c r="P33" s="97">
        <f t="shared" si="4"/>
        <v>0.12941176470588237</v>
      </c>
      <c r="Q33" s="97">
        <f t="shared" si="4"/>
        <v>0.18823529411764706</v>
      </c>
      <c r="R33" s="4">
        <f t="shared" si="5"/>
        <v>0</v>
      </c>
      <c r="S33" s="4">
        <f t="shared" si="6"/>
        <v>4.4843049327354416E-3</v>
      </c>
      <c r="T33" s="4">
        <f t="shared" si="7"/>
        <v>7.1748878923766815E-2</v>
      </c>
      <c r="U33" s="4">
        <f t="shared" si="8"/>
        <v>0.12549019607843137</v>
      </c>
      <c r="V33" s="4">
        <f t="shared" si="9"/>
        <v>0</v>
      </c>
      <c r="W33" s="4">
        <f t="shared" si="10"/>
        <v>0</v>
      </c>
      <c r="X33" s="4">
        <f t="shared" si="11"/>
        <v>0</v>
      </c>
      <c r="Y33" s="4">
        <f t="shared" si="12"/>
        <v>0</v>
      </c>
    </row>
    <row r="34" spans="1:25" ht="27" hidden="1" customHeight="1" x14ac:dyDescent="0.15">
      <c r="A34" s="1">
        <v>32</v>
      </c>
      <c r="B34" s="1" t="s">
        <v>214</v>
      </c>
      <c r="C34" s="1">
        <v>33</v>
      </c>
      <c r="G34" s="96" t="str">
        <f t="shared" si="0"/>
        <v>X33</v>
      </c>
      <c r="H34" s="2" t="s">
        <v>30</v>
      </c>
      <c r="I34" s="29"/>
      <c r="K34" s="1" t="s">
        <v>124</v>
      </c>
      <c r="L34" s="1">
        <f t="shared" si="1"/>
        <v>135</v>
      </c>
      <c r="M34" s="1">
        <f t="shared" si="2"/>
        <v>117</v>
      </c>
      <c r="N34" s="1">
        <f t="shared" si="3"/>
        <v>116</v>
      </c>
      <c r="O34" s="97">
        <f t="shared" si="4"/>
        <v>0.47058823529411764</v>
      </c>
      <c r="P34" s="97">
        <f t="shared" si="4"/>
        <v>0.54117647058823526</v>
      </c>
      <c r="Q34" s="97">
        <f t="shared" si="4"/>
        <v>0.54509803921568623</v>
      </c>
      <c r="R34" s="4">
        <f t="shared" si="5"/>
        <v>0</v>
      </c>
      <c r="S34" s="4">
        <f t="shared" si="6"/>
        <v>0.13333333333333328</v>
      </c>
      <c r="T34" s="4">
        <f t="shared" si="7"/>
        <v>0.14074074074074067</v>
      </c>
      <c r="U34" s="4">
        <f t="shared" si="8"/>
        <v>0.47058823529411764</v>
      </c>
      <c r="V34" s="4">
        <f t="shared" si="9"/>
        <v>0</v>
      </c>
      <c r="W34" s="4">
        <f t="shared" si="10"/>
        <v>0</v>
      </c>
      <c r="X34" s="4">
        <f t="shared" si="11"/>
        <v>0</v>
      </c>
      <c r="Y34" s="4">
        <f t="shared" si="12"/>
        <v>0</v>
      </c>
    </row>
    <row r="35" spans="1:25" ht="27" hidden="1" customHeight="1" x14ac:dyDescent="0.15">
      <c r="A35" s="1">
        <v>33</v>
      </c>
      <c r="B35" s="1" t="s">
        <v>214</v>
      </c>
      <c r="C35" s="1">
        <v>34</v>
      </c>
      <c r="G35" s="96" t="str">
        <f t="shared" si="0"/>
        <v>X34</v>
      </c>
      <c r="H35" s="2" t="s">
        <v>31</v>
      </c>
      <c r="I35" s="30"/>
      <c r="K35" s="1" t="s">
        <v>125</v>
      </c>
      <c r="L35" s="1">
        <f t="shared" si="1"/>
        <v>192</v>
      </c>
      <c r="M35" s="1">
        <f t="shared" si="2"/>
        <v>86</v>
      </c>
      <c r="N35" s="1">
        <f t="shared" si="3"/>
        <v>9</v>
      </c>
      <c r="O35" s="97">
        <f t="shared" ref="O35:Q66" si="13">(255-L35)/255</f>
        <v>0.24705882352941178</v>
      </c>
      <c r="P35" s="97">
        <f t="shared" si="13"/>
        <v>0.66274509803921566</v>
      </c>
      <c r="Q35" s="97">
        <f t="shared" si="13"/>
        <v>0.96470588235294119</v>
      </c>
      <c r="R35" s="4">
        <f t="shared" si="5"/>
        <v>0</v>
      </c>
      <c r="S35" s="4">
        <f t="shared" si="6"/>
        <v>0.55208333333333326</v>
      </c>
      <c r="T35" s="4">
        <f t="shared" si="7"/>
        <v>0.953125</v>
      </c>
      <c r="U35" s="4">
        <f t="shared" si="8"/>
        <v>0.24705882352941178</v>
      </c>
      <c r="V35" s="4">
        <f t="shared" si="9"/>
        <v>0</v>
      </c>
      <c r="W35" s="4">
        <f t="shared" si="10"/>
        <v>0</v>
      </c>
      <c r="X35" s="4">
        <f t="shared" si="11"/>
        <v>0</v>
      </c>
      <c r="Y35" s="4">
        <f t="shared" si="12"/>
        <v>0</v>
      </c>
    </row>
    <row r="36" spans="1:25" ht="25.5" hidden="1" customHeight="1" x14ac:dyDescent="0.15">
      <c r="A36" s="1">
        <v>34</v>
      </c>
      <c r="B36" s="1" t="s">
        <v>214</v>
      </c>
      <c r="C36" s="1">
        <v>35</v>
      </c>
      <c r="E36" s="1" t="s">
        <v>211</v>
      </c>
      <c r="G36" s="96" t="str">
        <f t="shared" si="0"/>
        <v>X35</v>
      </c>
      <c r="H36" s="2" t="s">
        <v>208</v>
      </c>
      <c r="I36" s="5"/>
      <c r="K36" s="1" t="s">
        <v>101</v>
      </c>
      <c r="L36" s="1">
        <f t="shared" si="1"/>
        <v>255</v>
      </c>
      <c r="M36" s="1">
        <f t="shared" si="2"/>
        <v>255</v>
      </c>
      <c r="N36" s="1">
        <f t="shared" si="3"/>
        <v>255</v>
      </c>
      <c r="O36" s="97">
        <f t="shared" si="13"/>
        <v>0</v>
      </c>
      <c r="P36" s="97">
        <f t="shared" si="13"/>
        <v>0</v>
      </c>
      <c r="Q36" s="97">
        <f t="shared" si="13"/>
        <v>0</v>
      </c>
      <c r="R36" s="4">
        <f t="shared" si="5"/>
        <v>0</v>
      </c>
      <c r="S36" s="4">
        <f t="shared" si="6"/>
        <v>0</v>
      </c>
      <c r="T36" s="4">
        <f t="shared" si="7"/>
        <v>0</v>
      </c>
      <c r="U36" s="4">
        <f t="shared" si="8"/>
        <v>0</v>
      </c>
      <c r="V36" s="4">
        <f t="shared" si="9"/>
        <v>0</v>
      </c>
      <c r="W36" s="4">
        <f t="shared" si="10"/>
        <v>0</v>
      </c>
      <c r="X36" s="4">
        <f t="shared" si="11"/>
        <v>0</v>
      </c>
      <c r="Y36" s="4">
        <f t="shared" si="12"/>
        <v>0</v>
      </c>
    </row>
    <row r="37" spans="1:25" ht="27" hidden="1" customHeight="1" x14ac:dyDescent="0.15">
      <c r="A37" s="1">
        <v>35</v>
      </c>
      <c r="B37" s="1" t="s">
        <v>215</v>
      </c>
      <c r="C37" s="1">
        <v>1</v>
      </c>
      <c r="G37" s="96" t="str">
        <f t="shared" si="0"/>
        <v>XF1</v>
      </c>
      <c r="H37" s="2" t="s">
        <v>32</v>
      </c>
      <c r="I37" s="3"/>
      <c r="K37" s="1" t="s">
        <v>100</v>
      </c>
      <c r="L37" s="1">
        <f t="shared" si="1"/>
        <v>35</v>
      </c>
      <c r="M37" s="1">
        <f t="shared" si="2"/>
        <v>25</v>
      </c>
      <c r="N37" s="1">
        <f t="shared" si="3"/>
        <v>22</v>
      </c>
      <c r="O37" s="97">
        <f t="shared" si="13"/>
        <v>0.86274509803921573</v>
      </c>
      <c r="P37" s="97">
        <f t="shared" si="13"/>
        <v>0.90196078431372551</v>
      </c>
      <c r="Q37" s="97">
        <f t="shared" si="13"/>
        <v>0.9137254901960784</v>
      </c>
      <c r="R37" s="4">
        <f t="shared" si="5"/>
        <v>0</v>
      </c>
      <c r="S37" s="4">
        <f t="shared" si="6"/>
        <v>0.28571428571428559</v>
      </c>
      <c r="T37" s="4">
        <f t="shared" si="7"/>
        <v>0.37142857142857105</v>
      </c>
      <c r="U37" s="4">
        <f t="shared" si="8"/>
        <v>0.86274509803921573</v>
      </c>
      <c r="V37" s="4">
        <f t="shared" si="9"/>
        <v>0</v>
      </c>
      <c r="W37" s="4">
        <f t="shared" si="10"/>
        <v>0</v>
      </c>
      <c r="X37" s="4">
        <f t="shared" si="11"/>
        <v>0</v>
      </c>
      <c r="Y37" s="4">
        <f t="shared" si="12"/>
        <v>0</v>
      </c>
    </row>
    <row r="38" spans="1:25" ht="27" hidden="1" customHeight="1" x14ac:dyDescent="0.15">
      <c r="A38" s="1">
        <v>36</v>
      </c>
      <c r="B38" s="1" t="s">
        <v>215</v>
      </c>
      <c r="C38" s="1">
        <v>2</v>
      </c>
      <c r="G38" s="96" t="str">
        <f t="shared" si="0"/>
        <v>XF2</v>
      </c>
      <c r="H38" s="2" t="s">
        <v>33</v>
      </c>
      <c r="I38" s="5"/>
      <c r="K38" s="1" t="s">
        <v>101</v>
      </c>
      <c r="L38" s="1">
        <f t="shared" si="1"/>
        <v>255</v>
      </c>
      <c r="M38" s="1">
        <f t="shared" si="2"/>
        <v>255</v>
      </c>
      <c r="N38" s="1">
        <f t="shared" si="3"/>
        <v>255</v>
      </c>
      <c r="O38" s="97">
        <f t="shared" si="13"/>
        <v>0</v>
      </c>
      <c r="P38" s="97">
        <f t="shared" si="13"/>
        <v>0</v>
      </c>
      <c r="Q38" s="97">
        <f t="shared" si="13"/>
        <v>0</v>
      </c>
      <c r="R38" s="4">
        <f t="shared" si="5"/>
        <v>0</v>
      </c>
      <c r="S38" s="4">
        <f t="shared" si="6"/>
        <v>0</v>
      </c>
      <c r="T38" s="4">
        <f t="shared" si="7"/>
        <v>0</v>
      </c>
      <c r="U38" s="4">
        <f t="shared" si="8"/>
        <v>0</v>
      </c>
      <c r="V38" s="4">
        <f t="shared" si="9"/>
        <v>0</v>
      </c>
      <c r="W38" s="4">
        <f t="shared" si="10"/>
        <v>0</v>
      </c>
      <c r="X38" s="4">
        <f t="shared" si="11"/>
        <v>0</v>
      </c>
      <c r="Y38" s="4">
        <f t="shared" si="12"/>
        <v>0</v>
      </c>
    </row>
    <row r="39" spans="1:25" ht="27" hidden="1" customHeight="1" x14ac:dyDescent="0.15">
      <c r="A39" s="1">
        <v>37</v>
      </c>
      <c r="B39" s="1" t="s">
        <v>215</v>
      </c>
      <c r="C39" s="1">
        <v>3</v>
      </c>
      <c r="G39" s="96" t="str">
        <f t="shared" si="0"/>
        <v>XF3</v>
      </c>
      <c r="H39" s="2" t="s">
        <v>34</v>
      </c>
      <c r="I39" s="31"/>
      <c r="K39" s="1" t="s">
        <v>126</v>
      </c>
      <c r="L39" s="1">
        <f t="shared" si="1"/>
        <v>255</v>
      </c>
      <c r="M39" s="1">
        <f t="shared" si="2"/>
        <v>225</v>
      </c>
      <c r="N39" s="1">
        <f t="shared" si="3"/>
        <v>0</v>
      </c>
      <c r="O39" s="97">
        <f t="shared" si="13"/>
        <v>0</v>
      </c>
      <c r="P39" s="97">
        <f t="shared" si="13"/>
        <v>0.11764705882352941</v>
      </c>
      <c r="Q39" s="97">
        <f t="shared" si="13"/>
        <v>1</v>
      </c>
      <c r="R39" s="4">
        <f t="shared" si="5"/>
        <v>0</v>
      </c>
      <c r="S39" s="4">
        <f t="shared" si="6"/>
        <v>0.11764705882352941</v>
      </c>
      <c r="T39" s="4">
        <f t="shared" si="7"/>
        <v>1</v>
      </c>
      <c r="U39" s="4">
        <f t="shared" si="8"/>
        <v>0</v>
      </c>
      <c r="V39" s="4">
        <f t="shared" si="9"/>
        <v>0</v>
      </c>
      <c r="W39" s="4">
        <f t="shared" si="10"/>
        <v>0</v>
      </c>
      <c r="X39" s="4">
        <f t="shared" si="11"/>
        <v>0</v>
      </c>
      <c r="Y39" s="4">
        <f t="shared" si="12"/>
        <v>0</v>
      </c>
    </row>
    <row r="40" spans="1:25" ht="27" hidden="1" customHeight="1" x14ac:dyDescent="0.15">
      <c r="A40" s="1">
        <v>38</v>
      </c>
      <c r="B40" s="1" t="s">
        <v>215</v>
      </c>
      <c r="C40" s="1">
        <v>4</v>
      </c>
      <c r="G40" s="96" t="str">
        <f t="shared" si="0"/>
        <v>XF4</v>
      </c>
      <c r="H40" s="2" t="s">
        <v>35</v>
      </c>
      <c r="I40" s="32"/>
      <c r="K40" s="1" t="s">
        <v>127</v>
      </c>
      <c r="L40" s="1">
        <f t="shared" si="1"/>
        <v>185</v>
      </c>
      <c r="M40" s="1">
        <f t="shared" si="2"/>
        <v>195</v>
      </c>
      <c r="N40" s="1">
        <f t="shared" si="3"/>
        <v>36</v>
      </c>
      <c r="O40" s="97">
        <f t="shared" si="13"/>
        <v>0.27450980392156865</v>
      </c>
      <c r="P40" s="97">
        <f t="shared" si="13"/>
        <v>0.23529411764705882</v>
      </c>
      <c r="Q40" s="97">
        <f t="shared" si="13"/>
        <v>0.85882352941176465</v>
      </c>
      <c r="R40" s="4">
        <f t="shared" si="5"/>
        <v>5.1282051282051322E-2</v>
      </c>
      <c r="S40" s="4">
        <f t="shared" si="6"/>
        <v>0</v>
      </c>
      <c r="T40" s="4">
        <f t="shared" si="7"/>
        <v>0.81538461538461549</v>
      </c>
      <c r="U40" s="4">
        <f t="shared" si="8"/>
        <v>0.23529411764705882</v>
      </c>
      <c r="V40" s="4">
        <f t="shared" si="9"/>
        <v>0</v>
      </c>
      <c r="W40" s="4">
        <f t="shared" si="10"/>
        <v>0</v>
      </c>
      <c r="X40" s="4">
        <f t="shared" si="11"/>
        <v>0</v>
      </c>
      <c r="Y40" s="4">
        <f t="shared" si="12"/>
        <v>0</v>
      </c>
    </row>
    <row r="41" spans="1:25" ht="27" hidden="1" customHeight="1" x14ac:dyDescent="0.15">
      <c r="A41" s="1">
        <v>39</v>
      </c>
      <c r="B41" s="1" t="s">
        <v>215</v>
      </c>
      <c r="C41" s="1">
        <v>5</v>
      </c>
      <c r="G41" s="96" t="str">
        <f t="shared" si="0"/>
        <v>XF5</v>
      </c>
      <c r="H41" s="2" t="s">
        <v>36</v>
      </c>
      <c r="I41" s="33"/>
      <c r="K41" s="1" t="s">
        <v>128</v>
      </c>
      <c r="L41" s="1">
        <f t="shared" si="1"/>
        <v>91</v>
      </c>
      <c r="M41" s="1">
        <f t="shared" si="2"/>
        <v>132</v>
      </c>
      <c r="N41" s="1">
        <f t="shared" si="3"/>
        <v>97</v>
      </c>
      <c r="O41" s="97">
        <f t="shared" si="13"/>
        <v>0.64313725490196083</v>
      </c>
      <c r="P41" s="97">
        <f t="shared" si="13"/>
        <v>0.4823529411764706</v>
      </c>
      <c r="Q41" s="97">
        <f t="shared" si="13"/>
        <v>0.61960784313725492</v>
      </c>
      <c r="R41" s="4">
        <f t="shared" si="5"/>
        <v>0.31060606060606072</v>
      </c>
      <c r="S41" s="4">
        <f t="shared" si="6"/>
        <v>0</v>
      </c>
      <c r="T41" s="4">
        <f t="shared" si="7"/>
        <v>0.26515151515151519</v>
      </c>
      <c r="U41" s="4">
        <f t="shared" si="8"/>
        <v>0.4823529411764706</v>
      </c>
      <c r="V41" s="4">
        <f t="shared" si="9"/>
        <v>0</v>
      </c>
      <c r="W41" s="4">
        <f t="shared" si="10"/>
        <v>0</v>
      </c>
      <c r="X41" s="4">
        <f t="shared" si="11"/>
        <v>0</v>
      </c>
      <c r="Y41" s="4">
        <f t="shared" si="12"/>
        <v>0</v>
      </c>
    </row>
    <row r="42" spans="1:25" ht="25.5" hidden="1" customHeight="1" x14ac:dyDescent="0.15">
      <c r="A42" s="1">
        <v>40</v>
      </c>
      <c r="B42" s="1" t="s">
        <v>215</v>
      </c>
      <c r="C42" s="1">
        <v>6</v>
      </c>
      <c r="E42" s="1" t="s">
        <v>216</v>
      </c>
      <c r="G42" s="96" t="str">
        <f t="shared" si="0"/>
        <v>XF6</v>
      </c>
      <c r="H42" s="2" t="s">
        <v>37</v>
      </c>
      <c r="I42" s="34"/>
      <c r="K42" s="1" t="s">
        <v>129</v>
      </c>
      <c r="L42" s="1">
        <f t="shared" si="1"/>
        <v>197</v>
      </c>
      <c r="M42" s="1">
        <f t="shared" si="2"/>
        <v>77</v>
      </c>
      <c r="N42" s="1">
        <f t="shared" si="3"/>
        <v>39</v>
      </c>
      <c r="O42" s="97">
        <f t="shared" si="13"/>
        <v>0.22745098039215686</v>
      </c>
      <c r="P42" s="97">
        <f t="shared" si="13"/>
        <v>0.69803921568627447</v>
      </c>
      <c r="Q42" s="97">
        <f t="shared" si="13"/>
        <v>0.84705882352941175</v>
      </c>
      <c r="R42" s="4">
        <f t="shared" si="5"/>
        <v>0</v>
      </c>
      <c r="S42" s="4">
        <f t="shared" si="6"/>
        <v>0.60913705583756339</v>
      </c>
      <c r="T42" s="4">
        <f t="shared" si="7"/>
        <v>0.80203045685279184</v>
      </c>
      <c r="U42" s="4">
        <f t="shared" si="8"/>
        <v>0.22745098039215686</v>
      </c>
      <c r="V42" s="4">
        <f t="shared" si="9"/>
        <v>0</v>
      </c>
      <c r="W42" s="4">
        <f t="shared" si="10"/>
        <v>0</v>
      </c>
      <c r="X42" s="4">
        <f t="shared" si="11"/>
        <v>0</v>
      </c>
      <c r="Y42" s="4">
        <f t="shared" si="12"/>
        <v>0</v>
      </c>
    </row>
    <row r="43" spans="1:25" ht="27" hidden="1" customHeight="1" x14ac:dyDescent="0.15">
      <c r="A43" s="1">
        <v>41</v>
      </c>
      <c r="B43" s="1" t="s">
        <v>215</v>
      </c>
      <c r="C43" s="1">
        <v>7</v>
      </c>
      <c r="G43" s="96" t="str">
        <f t="shared" si="0"/>
        <v>XF7</v>
      </c>
      <c r="H43" s="2" t="s">
        <v>38</v>
      </c>
      <c r="I43" s="35"/>
      <c r="K43" s="1" t="s">
        <v>130</v>
      </c>
      <c r="L43" s="1">
        <f t="shared" si="1"/>
        <v>230</v>
      </c>
      <c r="M43" s="1">
        <f t="shared" si="2"/>
        <v>0</v>
      </c>
      <c r="N43" s="1">
        <f t="shared" si="3"/>
        <v>29</v>
      </c>
      <c r="O43" s="97">
        <f t="shared" si="13"/>
        <v>9.8039215686274508E-2</v>
      </c>
      <c r="P43" s="97">
        <f t="shared" si="13"/>
        <v>1</v>
      </c>
      <c r="Q43" s="97">
        <f t="shared" si="13"/>
        <v>0.88627450980392153</v>
      </c>
      <c r="R43" s="4">
        <f t="shared" si="5"/>
        <v>0</v>
      </c>
      <c r="S43" s="4">
        <f t="shared" si="6"/>
        <v>1</v>
      </c>
      <c r="T43" s="4">
        <f t="shared" si="7"/>
        <v>0.87391304347826082</v>
      </c>
      <c r="U43" s="4">
        <f t="shared" si="8"/>
        <v>9.8039215686274508E-2</v>
      </c>
      <c r="V43" s="4">
        <f t="shared" si="9"/>
        <v>0</v>
      </c>
      <c r="W43" s="4">
        <f t="shared" si="10"/>
        <v>0</v>
      </c>
      <c r="X43" s="4">
        <f t="shared" si="11"/>
        <v>0</v>
      </c>
      <c r="Y43" s="4">
        <f t="shared" si="12"/>
        <v>0</v>
      </c>
    </row>
    <row r="44" spans="1:25" ht="27" hidden="1" customHeight="1" x14ac:dyDescent="0.15">
      <c r="A44" s="1">
        <v>42</v>
      </c>
      <c r="B44" s="1" t="s">
        <v>215</v>
      </c>
      <c r="C44" s="1">
        <v>8</v>
      </c>
      <c r="G44" s="96" t="str">
        <f t="shared" si="0"/>
        <v>XF8</v>
      </c>
      <c r="H44" s="2" t="s">
        <v>39</v>
      </c>
      <c r="I44" s="36"/>
      <c r="K44" s="1" t="s">
        <v>131</v>
      </c>
      <c r="L44" s="1">
        <f t="shared" si="1"/>
        <v>0</v>
      </c>
      <c r="M44" s="1">
        <f t="shared" si="2"/>
        <v>105</v>
      </c>
      <c r="N44" s="1">
        <f t="shared" si="3"/>
        <v>149</v>
      </c>
      <c r="O44" s="97">
        <f t="shared" si="13"/>
        <v>1</v>
      </c>
      <c r="P44" s="97">
        <f t="shared" si="13"/>
        <v>0.58823529411764708</v>
      </c>
      <c r="Q44" s="97">
        <f t="shared" si="13"/>
        <v>0.41568627450980394</v>
      </c>
      <c r="R44" s="4">
        <f t="shared" si="5"/>
        <v>1</v>
      </c>
      <c r="S44" s="4">
        <f t="shared" si="6"/>
        <v>0.29530201342281881</v>
      </c>
      <c r="T44" s="4">
        <f t="shared" si="7"/>
        <v>0</v>
      </c>
      <c r="U44" s="4">
        <f t="shared" si="8"/>
        <v>0.41568627450980394</v>
      </c>
      <c r="V44" s="4">
        <f t="shared" si="9"/>
        <v>0</v>
      </c>
      <c r="W44" s="4">
        <f t="shared" si="10"/>
        <v>0</v>
      </c>
      <c r="X44" s="4">
        <f t="shared" si="11"/>
        <v>0</v>
      </c>
      <c r="Y44" s="4">
        <f t="shared" si="12"/>
        <v>0</v>
      </c>
    </row>
    <row r="45" spans="1:25" ht="27" hidden="1" customHeight="1" x14ac:dyDescent="0.15">
      <c r="A45" s="1">
        <v>43</v>
      </c>
      <c r="B45" s="1" t="s">
        <v>215</v>
      </c>
      <c r="C45" s="1">
        <v>9</v>
      </c>
      <c r="G45" s="96" t="str">
        <f t="shared" si="0"/>
        <v>XF9</v>
      </c>
      <c r="H45" s="2" t="s">
        <v>40</v>
      </c>
      <c r="I45" s="37"/>
      <c r="K45" s="1" t="s">
        <v>132</v>
      </c>
      <c r="L45" s="1">
        <f t="shared" si="1"/>
        <v>97</v>
      </c>
      <c r="M45" s="1">
        <f t="shared" si="2"/>
        <v>45</v>
      </c>
      <c r="N45" s="1">
        <f t="shared" si="3"/>
        <v>49</v>
      </c>
      <c r="O45" s="97">
        <f t="shared" si="13"/>
        <v>0.61960784313725492</v>
      </c>
      <c r="P45" s="97">
        <f t="shared" si="13"/>
        <v>0.82352941176470584</v>
      </c>
      <c r="Q45" s="97">
        <f t="shared" si="13"/>
        <v>0.80784313725490198</v>
      </c>
      <c r="R45" s="4">
        <f t="shared" si="5"/>
        <v>0</v>
      </c>
      <c r="S45" s="4">
        <f t="shared" si="6"/>
        <v>0.536082474226804</v>
      </c>
      <c r="T45" s="4">
        <f t="shared" si="7"/>
        <v>0.49484536082474229</v>
      </c>
      <c r="U45" s="4">
        <f t="shared" si="8"/>
        <v>0.61960784313725492</v>
      </c>
      <c r="V45" s="4">
        <f t="shared" si="9"/>
        <v>0</v>
      </c>
      <c r="W45" s="4">
        <f t="shared" si="10"/>
        <v>0</v>
      </c>
      <c r="X45" s="4">
        <f t="shared" si="11"/>
        <v>0</v>
      </c>
      <c r="Y45" s="4">
        <f t="shared" si="12"/>
        <v>0</v>
      </c>
    </row>
    <row r="46" spans="1:25" ht="27" hidden="1" customHeight="1" x14ac:dyDescent="0.15">
      <c r="A46" s="1">
        <v>44</v>
      </c>
      <c r="B46" s="1" t="s">
        <v>215</v>
      </c>
      <c r="C46" s="1">
        <v>10</v>
      </c>
      <c r="G46" s="96" t="str">
        <f t="shared" si="0"/>
        <v>XF10</v>
      </c>
      <c r="H46" s="2" t="s">
        <v>41</v>
      </c>
      <c r="I46" s="38"/>
      <c r="K46" s="1" t="s">
        <v>133</v>
      </c>
      <c r="L46" s="1">
        <f t="shared" si="1"/>
        <v>79</v>
      </c>
      <c r="M46" s="1">
        <f t="shared" si="2"/>
        <v>57</v>
      </c>
      <c r="N46" s="1">
        <f t="shared" si="3"/>
        <v>51</v>
      </c>
      <c r="O46" s="97">
        <f t="shared" si="13"/>
        <v>0.69019607843137254</v>
      </c>
      <c r="P46" s="97">
        <f t="shared" si="13"/>
        <v>0.77647058823529413</v>
      </c>
      <c r="Q46" s="97">
        <f t="shared" si="13"/>
        <v>0.8</v>
      </c>
      <c r="R46" s="4">
        <f t="shared" si="5"/>
        <v>0</v>
      </c>
      <c r="S46" s="4">
        <f t="shared" si="6"/>
        <v>0.27848101265822794</v>
      </c>
      <c r="T46" s="4">
        <f t="shared" si="7"/>
        <v>0.35443037974683561</v>
      </c>
      <c r="U46" s="4">
        <f t="shared" si="8"/>
        <v>0.69019607843137254</v>
      </c>
      <c r="V46" s="4">
        <f t="shared" si="9"/>
        <v>0</v>
      </c>
      <c r="W46" s="4">
        <f t="shared" si="10"/>
        <v>0</v>
      </c>
      <c r="X46" s="4">
        <f t="shared" si="11"/>
        <v>0</v>
      </c>
      <c r="Y46" s="4">
        <f t="shared" si="12"/>
        <v>0</v>
      </c>
    </row>
    <row r="47" spans="1:25" ht="27" hidden="1" customHeight="1" x14ac:dyDescent="0.15">
      <c r="A47" s="1">
        <v>45</v>
      </c>
      <c r="B47" s="1" t="s">
        <v>215</v>
      </c>
      <c r="C47" s="1">
        <v>11</v>
      </c>
      <c r="G47" s="96" t="str">
        <f t="shared" si="0"/>
        <v>XF11</v>
      </c>
      <c r="H47" s="2" t="s">
        <v>42</v>
      </c>
      <c r="I47" s="39"/>
      <c r="K47" s="1" t="s">
        <v>134</v>
      </c>
      <c r="L47" s="1">
        <f t="shared" si="1"/>
        <v>0</v>
      </c>
      <c r="M47" s="1">
        <f t="shared" si="2"/>
        <v>71</v>
      </c>
      <c r="N47" s="1">
        <f t="shared" si="3"/>
        <v>58</v>
      </c>
      <c r="O47" s="97">
        <f t="shared" si="13"/>
        <v>1</v>
      </c>
      <c r="P47" s="97">
        <f t="shared" si="13"/>
        <v>0.72156862745098038</v>
      </c>
      <c r="Q47" s="97">
        <f t="shared" si="13"/>
        <v>0.77254901960784317</v>
      </c>
      <c r="R47" s="4">
        <f t="shared" si="5"/>
        <v>1</v>
      </c>
      <c r="S47" s="4">
        <f t="shared" si="6"/>
        <v>0</v>
      </c>
      <c r="T47" s="4">
        <f t="shared" si="7"/>
        <v>0.18309859154929592</v>
      </c>
      <c r="U47" s="4">
        <f t="shared" si="8"/>
        <v>0.72156862745098038</v>
      </c>
      <c r="V47" s="4">
        <f t="shared" si="9"/>
        <v>0</v>
      </c>
      <c r="W47" s="4">
        <f t="shared" si="10"/>
        <v>0</v>
      </c>
      <c r="X47" s="4">
        <f t="shared" si="11"/>
        <v>0</v>
      </c>
      <c r="Y47" s="4">
        <f t="shared" si="12"/>
        <v>0</v>
      </c>
    </row>
    <row r="48" spans="1:25" ht="27" hidden="1" customHeight="1" x14ac:dyDescent="0.15">
      <c r="A48" s="1">
        <v>46</v>
      </c>
      <c r="B48" s="1" t="s">
        <v>215</v>
      </c>
      <c r="C48" s="1">
        <v>12</v>
      </c>
      <c r="G48" s="96" t="str">
        <f t="shared" si="0"/>
        <v>XF12</v>
      </c>
      <c r="H48" s="2" t="s">
        <v>43</v>
      </c>
      <c r="I48" s="40"/>
      <c r="K48" s="1" t="s">
        <v>135</v>
      </c>
      <c r="L48" s="1">
        <f t="shared" si="1"/>
        <v>201</v>
      </c>
      <c r="M48" s="1">
        <f t="shared" si="2"/>
        <v>210</v>
      </c>
      <c r="N48" s="1">
        <f t="shared" si="3"/>
        <v>194</v>
      </c>
      <c r="O48" s="97">
        <f t="shared" si="13"/>
        <v>0.21176470588235294</v>
      </c>
      <c r="P48" s="97">
        <f t="shared" si="13"/>
        <v>0.17647058823529413</v>
      </c>
      <c r="Q48" s="97">
        <f t="shared" si="13"/>
        <v>0.23921568627450981</v>
      </c>
      <c r="R48" s="4">
        <f t="shared" si="5"/>
        <v>4.2857142857142844E-2</v>
      </c>
      <c r="S48" s="4">
        <f t="shared" si="6"/>
        <v>0</v>
      </c>
      <c r="T48" s="4">
        <f t="shared" si="7"/>
        <v>7.6190476190476197E-2</v>
      </c>
      <c r="U48" s="4">
        <f t="shared" si="8"/>
        <v>0.17647058823529413</v>
      </c>
      <c r="V48" s="4">
        <f t="shared" si="9"/>
        <v>0</v>
      </c>
      <c r="W48" s="4">
        <f t="shared" si="10"/>
        <v>0</v>
      </c>
      <c r="X48" s="4">
        <f t="shared" si="11"/>
        <v>0</v>
      </c>
      <c r="Y48" s="4">
        <f t="shared" si="12"/>
        <v>0</v>
      </c>
    </row>
    <row r="49" spans="1:25" ht="27" hidden="1" customHeight="1" x14ac:dyDescent="0.15">
      <c r="A49" s="1">
        <v>47</v>
      </c>
      <c r="B49" s="1" t="s">
        <v>215</v>
      </c>
      <c r="C49" s="1">
        <v>13</v>
      </c>
      <c r="G49" s="96" t="str">
        <f t="shared" si="0"/>
        <v>XF13</v>
      </c>
      <c r="H49" s="2" t="s">
        <v>44</v>
      </c>
      <c r="I49" s="41"/>
      <c r="K49" s="1" t="s">
        <v>136</v>
      </c>
      <c r="L49" s="1">
        <f t="shared" si="1"/>
        <v>7</v>
      </c>
      <c r="M49" s="1">
        <f t="shared" si="2"/>
        <v>69</v>
      </c>
      <c r="N49" s="1">
        <f t="shared" si="3"/>
        <v>66</v>
      </c>
      <c r="O49" s="97">
        <f t="shared" si="13"/>
        <v>0.97254901960784312</v>
      </c>
      <c r="P49" s="97">
        <f t="shared" si="13"/>
        <v>0.72941176470588232</v>
      </c>
      <c r="Q49" s="97">
        <f t="shared" si="13"/>
        <v>0.74117647058823533</v>
      </c>
      <c r="R49" s="4">
        <f t="shared" si="5"/>
        <v>0.89855072463768115</v>
      </c>
      <c r="S49" s="4">
        <f t="shared" si="6"/>
        <v>0</v>
      </c>
      <c r="T49" s="4">
        <f t="shared" si="7"/>
        <v>4.3478260869565466E-2</v>
      </c>
      <c r="U49" s="4">
        <f t="shared" si="8"/>
        <v>0.72941176470588232</v>
      </c>
      <c r="V49" s="4">
        <f t="shared" si="9"/>
        <v>0</v>
      </c>
      <c r="W49" s="4">
        <f t="shared" si="10"/>
        <v>0</v>
      </c>
      <c r="X49" s="4">
        <f t="shared" si="11"/>
        <v>0</v>
      </c>
      <c r="Y49" s="4">
        <f t="shared" si="12"/>
        <v>0</v>
      </c>
    </row>
    <row r="50" spans="1:25" ht="27" hidden="1" customHeight="1" x14ac:dyDescent="0.15">
      <c r="A50" s="1">
        <v>48</v>
      </c>
      <c r="B50" s="1" t="s">
        <v>215</v>
      </c>
      <c r="C50" s="1">
        <v>14</v>
      </c>
      <c r="G50" s="96" t="str">
        <f t="shared" si="0"/>
        <v>XF14</v>
      </c>
      <c r="H50" s="2" t="s">
        <v>45</v>
      </c>
      <c r="I50" s="42"/>
      <c r="K50" s="1" t="s">
        <v>137</v>
      </c>
      <c r="L50" s="1">
        <f t="shared" si="1"/>
        <v>237</v>
      </c>
      <c r="M50" s="1">
        <f t="shared" si="2"/>
        <v>235</v>
      </c>
      <c r="N50" s="1">
        <f t="shared" si="3"/>
        <v>216</v>
      </c>
      <c r="O50" s="97">
        <f t="shared" si="13"/>
        <v>7.0588235294117646E-2</v>
      </c>
      <c r="P50" s="97">
        <f t="shared" si="13"/>
        <v>7.8431372549019607E-2</v>
      </c>
      <c r="Q50" s="97">
        <f t="shared" si="13"/>
        <v>0.15294117647058825</v>
      </c>
      <c r="R50" s="4">
        <f t="shared" si="5"/>
        <v>0</v>
      </c>
      <c r="S50" s="4">
        <f t="shared" si="6"/>
        <v>8.4388185654008432E-3</v>
      </c>
      <c r="T50" s="4">
        <f t="shared" si="7"/>
        <v>8.8607594936708875E-2</v>
      </c>
      <c r="U50" s="4">
        <f t="shared" si="8"/>
        <v>7.0588235294117646E-2</v>
      </c>
      <c r="V50" s="4">
        <f t="shared" si="9"/>
        <v>0</v>
      </c>
      <c r="W50" s="4">
        <f t="shared" si="10"/>
        <v>0</v>
      </c>
      <c r="X50" s="4">
        <f t="shared" si="11"/>
        <v>0</v>
      </c>
      <c r="Y50" s="4">
        <f t="shared" si="12"/>
        <v>0</v>
      </c>
    </row>
    <row r="51" spans="1:25" ht="27" hidden="1" customHeight="1" x14ac:dyDescent="0.15">
      <c r="A51" s="1">
        <v>49</v>
      </c>
      <c r="B51" s="1" t="s">
        <v>215</v>
      </c>
      <c r="C51" s="1">
        <v>15</v>
      </c>
      <c r="G51" s="96" t="str">
        <f t="shared" si="0"/>
        <v>XF15</v>
      </c>
      <c r="H51" s="2" t="s">
        <v>46</v>
      </c>
      <c r="I51" s="43"/>
      <c r="K51" s="1" t="s">
        <v>138</v>
      </c>
      <c r="L51" s="1">
        <f t="shared" si="1"/>
        <v>250</v>
      </c>
      <c r="M51" s="1">
        <f t="shared" si="2"/>
        <v>205</v>
      </c>
      <c r="N51" s="1">
        <f t="shared" si="3"/>
        <v>143</v>
      </c>
      <c r="O51" s="97">
        <f t="shared" si="13"/>
        <v>1.9607843137254902E-2</v>
      </c>
      <c r="P51" s="97">
        <f t="shared" si="13"/>
        <v>0.19607843137254902</v>
      </c>
      <c r="Q51" s="97">
        <f t="shared" si="13"/>
        <v>0.4392156862745098</v>
      </c>
      <c r="R51" s="4">
        <f t="shared" si="5"/>
        <v>0</v>
      </c>
      <c r="S51" s="4">
        <f t="shared" si="6"/>
        <v>0.18</v>
      </c>
      <c r="T51" s="4">
        <f t="shared" si="7"/>
        <v>0.42800000000000005</v>
      </c>
      <c r="U51" s="4">
        <f t="shared" si="8"/>
        <v>1.9607843137254902E-2</v>
      </c>
      <c r="V51" s="4">
        <f t="shared" si="9"/>
        <v>0</v>
      </c>
      <c r="W51" s="4">
        <f t="shared" si="10"/>
        <v>0</v>
      </c>
      <c r="X51" s="4">
        <f t="shared" si="11"/>
        <v>0</v>
      </c>
      <c r="Y51" s="4">
        <f t="shared" si="12"/>
        <v>0</v>
      </c>
    </row>
    <row r="52" spans="1:25" ht="27" hidden="1" customHeight="1" x14ac:dyDescent="0.15">
      <c r="A52" s="1">
        <v>50</v>
      </c>
      <c r="B52" s="1" t="s">
        <v>215</v>
      </c>
      <c r="C52" s="1">
        <v>16</v>
      </c>
      <c r="G52" s="96" t="str">
        <f t="shared" si="0"/>
        <v>XF16</v>
      </c>
      <c r="H52" s="2" t="s">
        <v>47</v>
      </c>
      <c r="I52" s="44"/>
      <c r="K52" s="1" t="s">
        <v>139</v>
      </c>
      <c r="L52" s="1">
        <f t="shared" si="1"/>
        <v>183</v>
      </c>
      <c r="M52" s="1">
        <f t="shared" si="2"/>
        <v>184</v>
      </c>
      <c r="N52" s="1">
        <f t="shared" si="3"/>
        <v>184</v>
      </c>
      <c r="O52" s="97">
        <f t="shared" si="13"/>
        <v>0.28235294117647058</v>
      </c>
      <c r="P52" s="97">
        <f t="shared" si="13"/>
        <v>0.27843137254901962</v>
      </c>
      <c r="Q52" s="97">
        <f t="shared" si="13"/>
        <v>0.27843137254901962</v>
      </c>
      <c r="R52" s="4">
        <f t="shared" si="5"/>
        <v>5.4347826086956329E-3</v>
      </c>
      <c r="S52" s="4">
        <f t="shared" si="6"/>
        <v>0</v>
      </c>
      <c r="T52" s="4">
        <f t="shared" si="7"/>
        <v>0</v>
      </c>
      <c r="U52" s="4">
        <f t="shared" si="8"/>
        <v>0.27843137254901962</v>
      </c>
      <c r="V52" s="4">
        <f t="shared" si="9"/>
        <v>0</v>
      </c>
      <c r="W52" s="4">
        <f t="shared" si="10"/>
        <v>0</v>
      </c>
      <c r="X52" s="4">
        <f t="shared" si="11"/>
        <v>0</v>
      </c>
      <c r="Y52" s="4">
        <f t="shared" si="12"/>
        <v>0</v>
      </c>
    </row>
    <row r="53" spans="1:25" ht="27" hidden="1" customHeight="1" x14ac:dyDescent="0.15">
      <c r="A53" s="1">
        <v>51</v>
      </c>
      <c r="B53" s="1" t="s">
        <v>215</v>
      </c>
      <c r="C53" s="1">
        <v>17</v>
      </c>
      <c r="G53" s="96" t="str">
        <f t="shared" si="0"/>
        <v>XF17</v>
      </c>
      <c r="H53" s="2" t="s">
        <v>48</v>
      </c>
      <c r="I53" s="45"/>
      <c r="K53" s="1" t="s">
        <v>140</v>
      </c>
      <c r="L53" s="1">
        <f t="shared" si="1"/>
        <v>15</v>
      </c>
      <c r="M53" s="1">
        <f t="shared" si="2"/>
        <v>58</v>
      </c>
      <c r="N53" s="1">
        <f t="shared" si="3"/>
        <v>88</v>
      </c>
      <c r="O53" s="97">
        <f t="shared" si="13"/>
        <v>0.94117647058823528</v>
      </c>
      <c r="P53" s="97">
        <f t="shared" si="13"/>
        <v>0.77254901960784317</v>
      </c>
      <c r="Q53" s="97">
        <f t="shared" si="13"/>
        <v>0.65490196078431373</v>
      </c>
      <c r="R53" s="4">
        <f t="shared" si="5"/>
        <v>0.82954545454545447</v>
      </c>
      <c r="S53" s="4">
        <f t="shared" si="6"/>
        <v>0.34090909090909099</v>
      </c>
      <c r="T53" s="4">
        <f t="shared" si="7"/>
        <v>0</v>
      </c>
      <c r="U53" s="4">
        <f t="shared" si="8"/>
        <v>0.65490196078431373</v>
      </c>
      <c r="V53" s="4">
        <f t="shared" si="9"/>
        <v>0</v>
      </c>
      <c r="W53" s="4">
        <f t="shared" si="10"/>
        <v>0</v>
      </c>
      <c r="X53" s="4">
        <f t="shared" si="11"/>
        <v>0</v>
      </c>
      <c r="Y53" s="4">
        <f t="shared" si="12"/>
        <v>0</v>
      </c>
    </row>
    <row r="54" spans="1:25" ht="27" hidden="1" customHeight="1" x14ac:dyDescent="0.15">
      <c r="A54" s="1">
        <v>52</v>
      </c>
      <c r="B54" s="1" t="s">
        <v>215</v>
      </c>
      <c r="C54" s="1">
        <v>18</v>
      </c>
      <c r="G54" s="96" t="str">
        <f t="shared" si="0"/>
        <v>XF18</v>
      </c>
      <c r="H54" s="2" t="s">
        <v>49</v>
      </c>
      <c r="I54" s="46"/>
      <c r="K54" s="1" t="s">
        <v>141</v>
      </c>
      <c r="L54" s="1">
        <f t="shared" si="1"/>
        <v>8</v>
      </c>
      <c r="M54" s="1">
        <f t="shared" si="2"/>
        <v>120</v>
      </c>
      <c r="N54" s="1">
        <f t="shared" si="3"/>
        <v>160</v>
      </c>
      <c r="O54" s="97">
        <f t="shared" si="13"/>
        <v>0.96862745098039216</v>
      </c>
      <c r="P54" s="97">
        <f t="shared" si="13"/>
        <v>0.52941176470588236</v>
      </c>
      <c r="Q54" s="97">
        <f t="shared" si="13"/>
        <v>0.37254901960784315</v>
      </c>
      <c r="R54" s="4">
        <f t="shared" si="5"/>
        <v>0.95</v>
      </c>
      <c r="S54" s="4">
        <f t="shared" si="6"/>
        <v>0.25</v>
      </c>
      <c r="T54" s="4">
        <f t="shared" si="7"/>
        <v>0</v>
      </c>
      <c r="U54" s="4">
        <f t="shared" si="8"/>
        <v>0.37254901960784315</v>
      </c>
      <c r="V54" s="4">
        <f t="shared" si="9"/>
        <v>0</v>
      </c>
      <c r="W54" s="4">
        <f t="shared" si="10"/>
        <v>0</v>
      </c>
      <c r="X54" s="4">
        <f t="shared" si="11"/>
        <v>0</v>
      </c>
      <c r="Y54" s="4">
        <f t="shared" si="12"/>
        <v>0</v>
      </c>
    </row>
    <row r="55" spans="1:25" ht="27" hidden="1" customHeight="1" x14ac:dyDescent="0.15">
      <c r="A55" s="1">
        <v>53</v>
      </c>
      <c r="B55" s="1" t="s">
        <v>215</v>
      </c>
      <c r="C55" s="1">
        <v>19</v>
      </c>
      <c r="G55" s="96" t="str">
        <f t="shared" si="0"/>
        <v>XF19</v>
      </c>
      <c r="H55" s="2" t="s">
        <v>217</v>
      </c>
      <c r="I55" s="47"/>
      <c r="K55" s="1" t="s">
        <v>142</v>
      </c>
      <c r="L55" s="1">
        <f t="shared" si="1"/>
        <v>200</v>
      </c>
      <c r="M55" s="1">
        <f t="shared" si="2"/>
        <v>209</v>
      </c>
      <c r="N55" s="1">
        <f t="shared" si="3"/>
        <v>200</v>
      </c>
      <c r="O55" s="97">
        <f t="shared" si="13"/>
        <v>0.21568627450980393</v>
      </c>
      <c r="P55" s="97">
        <f t="shared" si="13"/>
        <v>0.1803921568627451</v>
      </c>
      <c r="Q55" s="97">
        <f t="shared" si="13"/>
        <v>0.21568627450980393</v>
      </c>
      <c r="R55" s="4">
        <f t="shared" si="5"/>
        <v>4.3062200956937816E-2</v>
      </c>
      <c r="S55" s="4">
        <f t="shared" si="6"/>
        <v>0</v>
      </c>
      <c r="T55" s="4">
        <f t="shared" si="7"/>
        <v>4.3062200956937816E-2</v>
      </c>
      <c r="U55" s="4">
        <f t="shared" si="8"/>
        <v>0.1803921568627451</v>
      </c>
      <c r="V55" s="4">
        <f t="shared" si="9"/>
        <v>0</v>
      </c>
      <c r="W55" s="4">
        <f t="shared" si="10"/>
        <v>0</v>
      </c>
      <c r="X55" s="4">
        <f t="shared" si="11"/>
        <v>0</v>
      </c>
      <c r="Y55" s="4">
        <f t="shared" si="12"/>
        <v>0</v>
      </c>
    </row>
    <row r="56" spans="1:25" ht="27" hidden="1" customHeight="1" x14ac:dyDescent="0.15">
      <c r="A56" s="1">
        <v>54</v>
      </c>
      <c r="B56" s="1" t="s">
        <v>215</v>
      </c>
      <c r="C56" s="1">
        <v>20</v>
      </c>
      <c r="G56" s="96" t="str">
        <f t="shared" si="0"/>
        <v>XF20</v>
      </c>
      <c r="H56" s="2" t="s">
        <v>218</v>
      </c>
      <c r="I56" s="48"/>
      <c r="K56" s="1" t="s">
        <v>143</v>
      </c>
      <c r="L56" s="1">
        <f t="shared" si="1"/>
        <v>175</v>
      </c>
      <c r="M56" s="1">
        <f t="shared" si="2"/>
        <v>187</v>
      </c>
      <c r="N56" s="1">
        <f t="shared" si="3"/>
        <v>182</v>
      </c>
      <c r="O56" s="97">
        <f t="shared" si="13"/>
        <v>0.31372549019607843</v>
      </c>
      <c r="P56" s="97">
        <f t="shared" si="13"/>
        <v>0.26666666666666666</v>
      </c>
      <c r="Q56" s="97">
        <f t="shared" si="13"/>
        <v>0.28627450980392155</v>
      </c>
      <c r="R56" s="4">
        <f t="shared" si="5"/>
        <v>6.4171122994652399E-2</v>
      </c>
      <c r="S56" s="4">
        <f t="shared" si="6"/>
        <v>0</v>
      </c>
      <c r="T56" s="4">
        <f t="shared" si="7"/>
        <v>2.6737967914438481E-2</v>
      </c>
      <c r="U56" s="4">
        <f t="shared" si="8"/>
        <v>0.26666666666666666</v>
      </c>
      <c r="V56" s="4">
        <f t="shared" si="9"/>
        <v>0</v>
      </c>
      <c r="W56" s="4">
        <f t="shared" si="10"/>
        <v>0</v>
      </c>
      <c r="X56" s="4">
        <f t="shared" si="11"/>
        <v>0</v>
      </c>
      <c r="Y56" s="4">
        <f t="shared" si="12"/>
        <v>0</v>
      </c>
    </row>
    <row r="57" spans="1:25" ht="27" hidden="1" customHeight="1" x14ac:dyDescent="0.15">
      <c r="A57" s="1">
        <v>55</v>
      </c>
      <c r="B57" s="1" t="s">
        <v>215</v>
      </c>
      <c r="C57" s="1">
        <v>21</v>
      </c>
      <c r="G57" s="96" t="str">
        <f t="shared" si="0"/>
        <v>XF21</v>
      </c>
      <c r="H57" s="2" t="s">
        <v>50</v>
      </c>
      <c r="I57" s="49"/>
      <c r="K57" s="1" t="s">
        <v>144</v>
      </c>
      <c r="L57" s="1">
        <f t="shared" si="1"/>
        <v>232</v>
      </c>
      <c r="M57" s="1">
        <f t="shared" si="2"/>
        <v>241</v>
      </c>
      <c r="N57" s="1">
        <f t="shared" si="3"/>
        <v>205</v>
      </c>
      <c r="O57" s="97">
        <f t="shared" si="13"/>
        <v>9.0196078431372548E-2</v>
      </c>
      <c r="P57" s="97">
        <f t="shared" si="13"/>
        <v>5.4901960784313725E-2</v>
      </c>
      <c r="Q57" s="97">
        <f t="shared" si="13"/>
        <v>0.19607843137254902</v>
      </c>
      <c r="R57" s="4">
        <f t="shared" si="5"/>
        <v>3.7344398340248962E-2</v>
      </c>
      <c r="S57" s="4">
        <f t="shared" si="6"/>
        <v>0</v>
      </c>
      <c r="T57" s="4">
        <f t="shared" si="7"/>
        <v>0.14937759336099585</v>
      </c>
      <c r="U57" s="4">
        <f t="shared" si="8"/>
        <v>5.4901960784313725E-2</v>
      </c>
      <c r="V57" s="4">
        <f t="shared" si="9"/>
        <v>0</v>
      </c>
      <c r="W57" s="4">
        <f t="shared" si="10"/>
        <v>0</v>
      </c>
      <c r="X57" s="4">
        <f t="shared" si="11"/>
        <v>0</v>
      </c>
      <c r="Y57" s="4">
        <f t="shared" si="12"/>
        <v>0</v>
      </c>
    </row>
    <row r="58" spans="1:25" ht="27" hidden="1" customHeight="1" x14ac:dyDescent="0.15">
      <c r="A58" s="1">
        <v>56</v>
      </c>
      <c r="B58" s="1" t="s">
        <v>215</v>
      </c>
      <c r="C58" s="1">
        <v>22</v>
      </c>
      <c r="G58" s="96" t="str">
        <f t="shared" si="0"/>
        <v>XF22</v>
      </c>
      <c r="H58" s="2" t="s">
        <v>51</v>
      </c>
      <c r="I58" s="50"/>
      <c r="K58" s="1" t="s">
        <v>145</v>
      </c>
      <c r="L58" s="1">
        <f t="shared" si="1"/>
        <v>82</v>
      </c>
      <c r="M58" s="1">
        <f t="shared" si="2"/>
        <v>99</v>
      </c>
      <c r="N58" s="1">
        <f t="shared" si="3"/>
        <v>103</v>
      </c>
      <c r="O58" s="97">
        <f t="shared" si="13"/>
        <v>0.67843137254901964</v>
      </c>
      <c r="P58" s="97">
        <f t="shared" si="13"/>
        <v>0.61176470588235299</v>
      </c>
      <c r="Q58" s="97">
        <f t="shared" si="13"/>
        <v>0.59607843137254901</v>
      </c>
      <c r="R58" s="4">
        <f t="shared" si="5"/>
        <v>0.20388349514563117</v>
      </c>
      <c r="S58" s="4">
        <f t="shared" si="6"/>
        <v>3.8834951456310815E-2</v>
      </c>
      <c r="T58" s="4">
        <f t="shared" si="7"/>
        <v>0</v>
      </c>
      <c r="U58" s="4">
        <f t="shared" si="8"/>
        <v>0.59607843137254901</v>
      </c>
      <c r="V58" s="4">
        <f t="shared" si="9"/>
        <v>0</v>
      </c>
      <c r="W58" s="4">
        <f t="shared" si="10"/>
        <v>0</v>
      </c>
      <c r="X58" s="4">
        <f t="shared" si="11"/>
        <v>0</v>
      </c>
      <c r="Y58" s="4">
        <f t="shared" si="12"/>
        <v>0</v>
      </c>
    </row>
    <row r="59" spans="1:25" ht="27" hidden="1" customHeight="1" x14ac:dyDescent="0.15">
      <c r="A59" s="1">
        <v>57</v>
      </c>
      <c r="B59" s="1" t="s">
        <v>215</v>
      </c>
      <c r="C59" s="1">
        <v>23</v>
      </c>
      <c r="G59" s="96" t="str">
        <f t="shared" si="0"/>
        <v>XF23</v>
      </c>
      <c r="H59" s="2" t="s">
        <v>52</v>
      </c>
      <c r="I59" s="51"/>
      <c r="K59" s="1" t="s">
        <v>146</v>
      </c>
      <c r="L59" s="1">
        <f t="shared" si="1"/>
        <v>126</v>
      </c>
      <c r="M59" s="1">
        <f t="shared" si="2"/>
        <v>204</v>
      </c>
      <c r="N59" s="1">
        <f t="shared" si="3"/>
        <v>222</v>
      </c>
      <c r="O59" s="97">
        <f t="shared" si="13"/>
        <v>0.50588235294117645</v>
      </c>
      <c r="P59" s="97">
        <f t="shared" si="13"/>
        <v>0.2</v>
      </c>
      <c r="Q59" s="97">
        <f t="shared" si="13"/>
        <v>0.12941176470588237</v>
      </c>
      <c r="R59" s="4">
        <f t="shared" si="5"/>
        <v>0.4324324324324324</v>
      </c>
      <c r="S59" s="4">
        <f t="shared" si="6"/>
        <v>8.1081081081081072E-2</v>
      </c>
      <c r="T59" s="4">
        <f t="shared" si="7"/>
        <v>0</v>
      </c>
      <c r="U59" s="4">
        <f t="shared" si="8"/>
        <v>0.12941176470588237</v>
      </c>
      <c r="V59" s="4">
        <f t="shared" si="9"/>
        <v>0</v>
      </c>
      <c r="W59" s="4">
        <f t="shared" si="10"/>
        <v>0</v>
      </c>
      <c r="X59" s="4">
        <f t="shared" si="11"/>
        <v>0</v>
      </c>
      <c r="Y59" s="4">
        <f t="shared" si="12"/>
        <v>0</v>
      </c>
    </row>
    <row r="60" spans="1:25" ht="27" customHeight="1" x14ac:dyDescent="0.15">
      <c r="A60" s="1">
        <v>58</v>
      </c>
      <c r="B60" s="1" t="s">
        <v>215</v>
      </c>
      <c r="C60" s="1">
        <v>24</v>
      </c>
      <c r="F60" s="1" t="s">
        <v>231</v>
      </c>
      <c r="G60" s="96" t="str">
        <f t="shared" si="0"/>
        <v>XF24</v>
      </c>
      <c r="H60" s="2" t="s">
        <v>53</v>
      </c>
      <c r="I60" s="52"/>
      <c r="J60" s="98">
        <v>1</v>
      </c>
      <c r="K60" s="1" t="s">
        <v>147</v>
      </c>
      <c r="L60" s="1">
        <f t="shared" si="1"/>
        <v>47</v>
      </c>
      <c r="M60" s="1">
        <f t="shared" si="2"/>
        <v>104</v>
      </c>
      <c r="N60" s="1">
        <f t="shared" si="3"/>
        <v>120</v>
      </c>
      <c r="O60" s="97">
        <f t="shared" si="13"/>
        <v>0.81568627450980391</v>
      </c>
      <c r="P60" s="97">
        <f t="shared" si="13"/>
        <v>0.59215686274509804</v>
      </c>
      <c r="Q60" s="97">
        <f t="shared" si="13"/>
        <v>0.52941176470588236</v>
      </c>
      <c r="R60" s="4">
        <f t="shared" si="5"/>
        <v>0.60833333333333328</v>
      </c>
      <c r="S60" s="4">
        <f t="shared" si="6"/>
        <v>0.13333333333333333</v>
      </c>
      <c r="T60" s="4">
        <f t="shared" si="7"/>
        <v>0</v>
      </c>
      <c r="U60" s="4">
        <f t="shared" si="8"/>
        <v>0.52941176470588236</v>
      </c>
      <c r="V60" s="4">
        <f t="shared" si="9"/>
        <v>0.60833333333333328</v>
      </c>
      <c r="W60" s="4">
        <f t="shared" si="10"/>
        <v>0.13333333333333333</v>
      </c>
      <c r="X60" s="4">
        <f t="shared" si="11"/>
        <v>0</v>
      </c>
      <c r="Y60" s="4">
        <f t="shared" si="12"/>
        <v>0.52941176470588236</v>
      </c>
    </row>
    <row r="61" spans="1:25" ht="27" hidden="1" customHeight="1" x14ac:dyDescent="0.15">
      <c r="A61" s="1">
        <v>59</v>
      </c>
      <c r="B61" s="1" t="s">
        <v>215</v>
      </c>
      <c r="C61" s="1">
        <v>25</v>
      </c>
      <c r="G61" s="96" t="str">
        <f t="shared" si="0"/>
        <v>XF25</v>
      </c>
      <c r="H61" s="2" t="s">
        <v>54</v>
      </c>
      <c r="I61" s="53"/>
      <c r="K61" s="1" t="s">
        <v>148</v>
      </c>
      <c r="L61" s="1">
        <f t="shared" si="1"/>
        <v>133</v>
      </c>
      <c r="M61" s="1">
        <f t="shared" si="2"/>
        <v>155</v>
      </c>
      <c r="N61" s="1">
        <f t="shared" si="3"/>
        <v>166</v>
      </c>
      <c r="O61" s="97">
        <f t="shared" si="13"/>
        <v>0.47843137254901963</v>
      </c>
      <c r="P61" s="97">
        <f t="shared" si="13"/>
        <v>0.39215686274509803</v>
      </c>
      <c r="Q61" s="97">
        <f t="shared" si="13"/>
        <v>0.34901960784313724</v>
      </c>
      <c r="R61" s="4">
        <f t="shared" si="5"/>
        <v>0.19879518072289162</v>
      </c>
      <c r="S61" s="4">
        <f t="shared" si="6"/>
        <v>6.6265060240963874E-2</v>
      </c>
      <c r="T61" s="4">
        <f t="shared" si="7"/>
        <v>0</v>
      </c>
      <c r="U61" s="4">
        <f t="shared" si="8"/>
        <v>0.34901960784313724</v>
      </c>
      <c r="V61" s="4">
        <f t="shared" si="9"/>
        <v>0</v>
      </c>
      <c r="W61" s="4">
        <f t="shared" si="10"/>
        <v>0</v>
      </c>
      <c r="X61" s="4">
        <f t="shared" si="11"/>
        <v>0</v>
      </c>
      <c r="Y61" s="4">
        <f t="shared" si="12"/>
        <v>0</v>
      </c>
    </row>
    <row r="62" spans="1:25" ht="27" hidden="1" customHeight="1" x14ac:dyDescent="0.15">
      <c r="A62" s="1">
        <v>60</v>
      </c>
      <c r="B62" s="1" t="s">
        <v>215</v>
      </c>
      <c r="C62" s="1">
        <v>26</v>
      </c>
      <c r="G62" s="96" t="str">
        <f t="shared" si="0"/>
        <v>XF26</v>
      </c>
      <c r="H62" s="2" t="s">
        <v>55</v>
      </c>
      <c r="I62" s="54"/>
      <c r="K62" s="1" t="s">
        <v>149</v>
      </c>
      <c r="L62" s="1">
        <f t="shared" si="1"/>
        <v>18</v>
      </c>
      <c r="M62" s="1">
        <f t="shared" si="2"/>
        <v>100</v>
      </c>
      <c r="N62" s="1">
        <f t="shared" si="3"/>
        <v>66</v>
      </c>
      <c r="O62" s="97">
        <f t="shared" si="13"/>
        <v>0.92941176470588238</v>
      </c>
      <c r="P62" s="97">
        <f t="shared" si="13"/>
        <v>0.60784313725490191</v>
      </c>
      <c r="Q62" s="97">
        <f t="shared" si="13"/>
        <v>0.74117647058823533</v>
      </c>
      <c r="R62" s="4">
        <f t="shared" si="5"/>
        <v>0.82000000000000006</v>
      </c>
      <c r="S62" s="4">
        <f t="shared" si="6"/>
        <v>0</v>
      </c>
      <c r="T62" s="4">
        <f t="shared" si="7"/>
        <v>0.34000000000000019</v>
      </c>
      <c r="U62" s="4">
        <f t="shared" si="8"/>
        <v>0.60784313725490191</v>
      </c>
      <c r="V62" s="4">
        <f t="shared" si="9"/>
        <v>0</v>
      </c>
      <c r="W62" s="4">
        <f t="shared" si="10"/>
        <v>0</v>
      </c>
      <c r="X62" s="4">
        <f t="shared" si="11"/>
        <v>0</v>
      </c>
      <c r="Y62" s="4">
        <f t="shared" si="12"/>
        <v>0</v>
      </c>
    </row>
    <row r="63" spans="1:25" ht="27" customHeight="1" x14ac:dyDescent="0.15">
      <c r="A63" s="1">
        <v>61</v>
      </c>
      <c r="B63" s="1" t="s">
        <v>215</v>
      </c>
      <c r="C63" s="1">
        <v>27</v>
      </c>
      <c r="F63" s="1" t="s">
        <v>231</v>
      </c>
      <c r="G63" s="96" t="str">
        <f t="shared" si="0"/>
        <v>XF27</v>
      </c>
      <c r="H63" s="2" t="s">
        <v>56</v>
      </c>
      <c r="I63" s="55"/>
      <c r="J63" s="98">
        <v>3</v>
      </c>
      <c r="K63" s="1" t="s">
        <v>150</v>
      </c>
      <c r="L63" s="1">
        <f t="shared" si="1"/>
        <v>0</v>
      </c>
      <c r="M63" s="1">
        <f t="shared" si="2"/>
        <v>71</v>
      </c>
      <c r="N63" s="1">
        <f t="shared" si="3"/>
        <v>49</v>
      </c>
      <c r="O63" s="97">
        <f t="shared" si="13"/>
        <v>1</v>
      </c>
      <c r="P63" s="97">
        <f t="shared" si="13"/>
        <v>0.72156862745098038</v>
      </c>
      <c r="Q63" s="97">
        <f t="shared" si="13"/>
        <v>0.80784313725490198</v>
      </c>
      <c r="R63" s="4">
        <f t="shared" si="5"/>
        <v>1</v>
      </c>
      <c r="S63" s="4">
        <f t="shared" si="6"/>
        <v>0</v>
      </c>
      <c r="T63" s="4">
        <f t="shared" si="7"/>
        <v>0.30985915492957755</v>
      </c>
      <c r="U63" s="4">
        <f t="shared" si="8"/>
        <v>0.72156862745098038</v>
      </c>
      <c r="V63" s="4">
        <f t="shared" si="9"/>
        <v>3</v>
      </c>
      <c r="W63" s="4">
        <f t="shared" si="10"/>
        <v>0</v>
      </c>
      <c r="X63" s="4">
        <f t="shared" si="11"/>
        <v>0.92957746478873271</v>
      </c>
      <c r="Y63" s="4">
        <f t="shared" si="12"/>
        <v>2.164705882352941</v>
      </c>
    </row>
    <row r="64" spans="1:25" ht="27" hidden="1" customHeight="1" x14ac:dyDescent="0.15">
      <c r="A64" s="1">
        <v>62</v>
      </c>
      <c r="B64" s="1" t="s">
        <v>215</v>
      </c>
      <c r="C64" s="1">
        <v>28</v>
      </c>
      <c r="G64" s="96" t="str">
        <f t="shared" si="0"/>
        <v>XF28</v>
      </c>
      <c r="H64" s="2" t="s">
        <v>57</v>
      </c>
      <c r="I64" s="56"/>
      <c r="K64" s="1" t="s">
        <v>151</v>
      </c>
      <c r="L64" s="1">
        <f t="shared" si="1"/>
        <v>164</v>
      </c>
      <c r="M64" s="1">
        <f t="shared" si="2"/>
        <v>129</v>
      </c>
      <c r="N64" s="1">
        <f t="shared" si="3"/>
        <v>99</v>
      </c>
      <c r="O64" s="97">
        <f t="shared" si="13"/>
        <v>0.35686274509803922</v>
      </c>
      <c r="P64" s="97">
        <f t="shared" si="13"/>
        <v>0.49411764705882355</v>
      </c>
      <c r="Q64" s="97">
        <f t="shared" si="13"/>
        <v>0.61176470588235299</v>
      </c>
      <c r="R64" s="4">
        <f t="shared" si="5"/>
        <v>0</v>
      </c>
      <c r="S64" s="4">
        <f t="shared" si="6"/>
        <v>0.21341463414634151</v>
      </c>
      <c r="T64" s="4">
        <f t="shared" si="7"/>
        <v>0.39634146341463422</v>
      </c>
      <c r="U64" s="4">
        <f t="shared" si="8"/>
        <v>0.35686274509803922</v>
      </c>
      <c r="V64" s="4">
        <f t="shared" si="9"/>
        <v>0</v>
      </c>
      <c r="W64" s="4">
        <f t="shared" si="10"/>
        <v>0</v>
      </c>
      <c r="X64" s="4">
        <f t="shared" si="11"/>
        <v>0</v>
      </c>
      <c r="Y64" s="4">
        <f t="shared" si="12"/>
        <v>0</v>
      </c>
    </row>
    <row r="65" spans="1:25" ht="27" hidden="1" customHeight="1" x14ac:dyDescent="0.15">
      <c r="A65" s="1">
        <v>63</v>
      </c>
      <c r="B65" s="1" t="s">
        <v>215</v>
      </c>
      <c r="C65" s="1">
        <v>49</v>
      </c>
      <c r="G65" s="96" t="str">
        <f t="shared" si="0"/>
        <v>XF49</v>
      </c>
      <c r="H65" s="2" t="s">
        <v>58</v>
      </c>
      <c r="I65" s="57"/>
      <c r="K65" s="1" t="s">
        <v>152</v>
      </c>
      <c r="L65" s="1">
        <f t="shared" si="1"/>
        <v>154</v>
      </c>
      <c r="M65" s="1">
        <f t="shared" si="2"/>
        <v>143</v>
      </c>
      <c r="N65" s="1">
        <f t="shared" si="3"/>
        <v>52</v>
      </c>
      <c r="O65" s="97">
        <f t="shared" si="13"/>
        <v>0.396078431372549</v>
      </c>
      <c r="P65" s="97">
        <f t="shared" si="13"/>
        <v>0.4392156862745098</v>
      </c>
      <c r="Q65" s="97">
        <f t="shared" si="13"/>
        <v>0.79607843137254897</v>
      </c>
      <c r="R65" s="4">
        <f t="shared" si="5"/>
        <v>0</v>
      </c>
      <c r="S65" s="4">
        <f t="shared" si="6"/>
        <v>7.1428571428571438E-2</v>
      </c>
      <c r="T65" s="4">
        <f t="shared" si="7"/>
        <v>0.66233766233766223</v>
      </c>
      <c r="U65" s="4">
        <f t="shared" si="8"/>
        <v>0.396078431372549</v>
      </c>
      <c r="V65" s="4">
        <f t="shared" si="9"/>
        <v>0</v>
      </c>
      <c r="W65" s="4">
        <f t="shared" si="10"/>
        <v>0</v>
      </c>
      <c r="X65" s="4">
        <f t="shared" si="11"/>
        <v>0</v>
      </c>
      <c r="Y65" s="4">
        <f t="shared" si="12"/>
        <v>0</v>
      </c>
    </row>
    <row r="66" spans="1:25" ht="27" hidden="1" customHeight="1" x14ac:dyDescent="0.15">
      <c r="A66" s="1">
        <v>64</v>
      </c>
      <c r="B66" s="1" t="s">
        <v>215</v>
      </c>
      <c r="C66" s="1">
        <v>50</v>
      </c>
      <c r="G66" s="96" t="str">
        <f t="shared" si="0"/>
        <v>XF50</v>
      </c>
      <c r="H66" s="2" t="s">
        <v>209</v>
      </c>
      <c r="I66" s="58"/>
      <c r="K66" s="1" t="s">
        <v>153</v>
      </c>
      <c r="L66" s="1">
        <f t="shared" si="1"/>
        <v>21</v>
      </c>
      <c r="M66" s="1">
        <f t="shared" si="2"/>
        <v>130</v>
      </c>
      <c r="N66" s="1">
        <f t="shared" si="3"/>
        <v>166</v>
      </c>
      <c r="O66" s="97">
        <f t="shared" si="13"/>
        <v>0.91764705882352937</v>
      </c>
      <c r="P66" s="97">
        <f t="shared" si="13"/>
        <v>0.49019607843137253</v>
      </c>
      <c r="Q66" s="97">
        <f t="shared" si="13"/>
        <v>0.34901960784313724</v>
      </c>
      <c r="R66" s="4">
        <f t="shared" si="5"/>
        <v>0.87349397590361444</v>
      </c>
      <c r="S66" s="4">
        <f t="shared" si="6"/>
        <v>0.21686746987951808</v>
      </c>
      <c r="T66" s="4">
        <f t="shared" si="7"/>
        <v>0</v>
      </c>
      <c r="U66" s="4">
        <f t="shared" si="8"/>
        <v>0.34901960784313724</v>
      </c>
      <c r="V66" s="4">
        <f t="shared" si="9"/>
        <v>0</v>
      </c>
      <c r="W66" s="4">
        <f t="shared" si="10"/>
        <v>0</v>
      </c>
      <c r="X66" s="4">
        <f t="shared" si="11"/>
        <v>0</v>
      </c>
      <c r="Y66" s="4">
        <f t="shared" si="12"/>
        <v>0</v>
      </c>
    </row>
    <row r="67" spans="1:25" ht="27" hidden="1" customHeight="1" x14ac:dyDescent="0.15">
      <c r="A67" s="1">
        <v>65</v>
      </c>
      <c r="B67" s="1" t="s">
        <v>215</v>
      </c>
      <c r="C67" s="1">
        <v>51</v>
      </c>
      <c r="G67" s="96" t="str">
        <f t="shared" ref="G67:G109" si="14">B67&amp;C67&amp;D67</f>
        <v>XF51</v>
      </c>
      <c r="H67" s="2" t="s">
        <v>59</v>
      </c>
      <c r="I67" s="59"/>
      <c r="K67" s="1" t="s">
        <v>154</v>
      </c>
      <c r="L67" s="1">
        <f t="shared" ref="L67:L109" si="15">HEX2DEC(MID(K67,9,2))</f>
        <v>87</v>
      </c>
      <c r="M67" s="1">
        <f t="shared" ref="M67:M109" si="16">HEX2DEC(MID(K67,7,2))</f>
        <v>95</v>
      </c>
      <c r="N67" s="1">
        <f t="shared" ref="N67:N109" si="17">HEX2DEC(MID(K67,5,2))</f>
        <v>92</v>
      </c>
      <c r="O67" s="97">
        <f t="shared" ref="O67:Q98" si="18">(255-L67)/255</f>
        <v>0.6588235294117647</v>
      </c>
      <c r="P67" s="97">
        <f t="shared" si="18"/>
        <v>0.62745098039215685</v>
      </c>
      <c r="Q67" s="97">
        <f t="shared" si="18"/>
        <v>0.63921568627450975</v>
      </c>
      <c r="R67" s="4">
        <f t="shared" ref="R67:R109" si="19">(O67-U67)/(1-U67)</f>
        <v>8.4210526315789472E-2</v>
      </c>
      <c r="S67" s="4">
        <f t="shared" ref="S67:S109" si="20">(P67-U67)/(1-U67)</f>
        <v>0</v>
      </c>
      <c r="T67" s="4">
        <f t="shared" ref="T67:T109" si="21">(Q67-U67)/(1-U67)</f>
        <v>3.1578947368420943E-2</v>
      </c>
      <c r="U67" s="4">
        <f t="shared" ref="U67:U109" si="22">MIN(O67,P67,Q67)</f>
        <v>0.62745098039215685</v>
      </c>
      <c r="V67" s="4">
        <f t="shared" ref="V67:V109" si="23">J67*R67</f>
        <v>0</v>
      </c>
      <c r="W67" s="4">
        <f t="shared" ref="W67:W109" si="24">J67*S67</f>
        <v>0</v>
      </c>
      <c r="X67" s="4">
        <f t="shared" ref="X67:X109" si="25">J67*T67</f>
        <v>0</v>
      </c>
      <c r="Y67" s="4">
        <f t="shared" ref="Y67:Y109" si="26">J67*U67</f>
        <v>0</v>
      </c>
    </row>
    <row r="68" spans="1:25" ht="27" hidden="1" customHeight="1" x14ac:dyDescent="0.15">
      <c r="A68" s="1">
        <v>66</v>
      </c>
      <c r="B68" s="1" t="s">
        <v>215</v>
      </c>
      <c r="C68" s="1">
        <v>52</v>
      </c>
      <c r="G68" s="96" t="str">
        <f t="shared" si="14"/>
        <v>XF52</v>
      </c>
      <c r="H68" s="2" t="s">
        <v>60</v>
      </c>
      <c r="I68" s="60"/>
      <c r="K68" s="1" t="s">
        <v>155</v>
      </c>
      <c r="L68" s="1">
        <f t="shared" si="15"/>
        <v>153</v>
      </c>
      <c r="M68" s="1">
        <f t="shared" si="16"/>
        <v>72</v>
      </c>
      <c r="N68" s="1">
        <f t="shared" si="17"/>
        <v>48</v>
      </c>
      <c r="O68" s="97">
        <f t="shared" si="18"/>
        <v>0.4</v>
      </c>
      <c r="P68" s="97">
        <f t="shared" si="18"/>
        <v>0.71764705882352942</v>
      </c>
      <c r="Q68" s="97">
        <f t="shared" si="18"/>
        <v>0.81176470588235294</v>
      </c>
      <c r="R68" s="4">
        <f t="shared" si="19"/>
        <v>0</v>
      </c>
      <c r="S68" s="4">
        <f t="shared" si="20"/>
        <v>0.52941176470588236</v>
      </c>
      <c r="T68" s="4">
        <f t="shared" si="21"/>
        <v>0.68627450980392157</v>
      </c>
      <c r="U68" s="4">
        <f t="shared" si="22"/>
        <v>0.4</v>
      </c>
      <c r="V68" s="4">
        <f t="shared" si="23"/>
        <v>0</v>
      </c>
      <c r="W68" s="4">
        <f t="shared" si="24"/>
        <v>0</v>
      </c>
      <c r="X68" s="4">
        <f t="shared" si="25"/>
        <v>0</v>
      </c>
      <c r="Y68" s="4">
        <f t="shared" si="26"/>
        <v>0</v>
      </c>
    </row>
    <row r="69" spans="1:25" ht="27" hidden="1" customHeight="1" x14ac:dyDescent="0.15">
      <c r="A69" s="1">
        <v>67</v>
      </c>
      <c r="B69" s="1" t="s">
        <v>215</v>
      </c>
      <c r="C69" s="1">
        <v>53</v>
      </c>
      <c r="G69" s="96" t="str">
        <f t="shared" si="14"/>
        <v>XF53</v>
      </c>
      <c r="H69" s="2" t="s">
        <v>61</v>
      </c>
      <c r="I69" s="61"/>
      <c r="K69" s="1" t="s">
        <v>156</v>
      </c>
      <c r="L69" s="1">
        <f t="shared" si="15"/>
        <v>113</v>
      </c>
      <c r="M69" s="1">
        <f t="shared" si="16"/>
        <v>132</v>
      </c>
      <c r="N69" s="1">
        <f t="shared" si="17"/>
        <v>142</v>
      </c>
      <c r="O69" s="97">
        <f t="shared" si="18"/>
        <v>0.55686274509803924</v>
      </c>
      <c r="P69" s="97">
        <f t="shared" si="18"/>
        <v>0.4823529411764706</v>
      </c>
      <c r="Q69" s="97">
        <f t="shared" si="18"/>
        <v>0.44313725490196076</v>
      </c>
      <c r="R69" s="4">
        <f t="shared" si="19"/>
        <v>0.20422535211267612</v>
      </c>
      <c r="S69" s="4">
        <f t="shared" si="20"/>
        <v>7.0422535211267651E-2</v>
      </c>
      <c r="T69" s="4">
        <f t="shared" si="21"/>
        <v>0</v>
      </c>
      <c r="U69" s="4">
        <f t="shared" si="22"/>
        <v>0.44313725490196076</v>
      </c>
      <c r="V69" s="4">
        <f t="shared" si="23"/>
        <v>0</v>
      </c>
      <c r="W69" s="4">
        <f t="shared" si="24"/>
        <v>0</v>
      </c>
      <c r="X69" s="4">
        <f t="shared" si="25"/>
        <v>0</v>
      </c>
      <c r="Y69" s="4">
        <f t="shared" si="26"/>
        <v>0</v>
      </c>
    </row>
    <row r="70" spans="1:25" ht="27" hidden="1" customHeight="1" x14ac:dyDescent="0.15">
      <c r="A70" s="1">
        <v>68</v>
      </c>
      <c r="B70" s="1" t="s">
        <v>215</v>
      </c>
      <c r="C70" s="1">
        <v>54</v>
      </c>
      <c r="G70" s="96" t="str">
        <f t="shared" si="14"/>
        <v>XF54</v>
      </c>
      <c r="H70" s="2" t="s">
        <v>219</v>
      </c>
      <c r="I70" s="62"/>
      <c r="K70" s="1" t="s">
        <v>157</v>
      </c>
      <c r="L70" s="1">
        <f t="shared" si="15"/>
        <v>171</v>
      </c>
      <c r="M70" s="1">
        <f t="shared" si="16"/>
        <v>177</v>
      </c>
      <c r="N70" s="1">
        <f t="shared" si="17"/>
        <v>178</v>
      </c>
      <c r="O70" s="97">
        <f t="shared" si="18"/>
        <v>0.32941176470588235</v>
      </c>
      <c r="P70" s="97">
        <f t="shared" si="18"/>
        <v>0.30588235294117649</v>
      </c>
      <c r="Q70" s="97">
        <f t="shared" si="18"/>
        <v>0.30196078431372547</v>
      </c>
      <c r="R70" s="4">
        <f t="shared" si="19"/>
        <v>3.9325842696629233E-2</v>
      </c>
      <c r="S70" s="4">
        <f t="shared" si="20"/>
        <v>5.6179775280899473E-3</v>
      </c>
      <c r="T70" s="4">
        <f t="shared" si="21"/>
        <v>0</v>
      </c>
      <c r="U70" s="4">
        <f t="shared" si="22"/>
        <v>0.30196078431372547</v>
      </c>
      <c r="V70" s="4">
        <f t="shared" si="23"/>
        <v>0</v>
      </c>
      <c r="W70" s="4">
        <f t="shared" si="24"/>
        <v>0</v>
      </c>
      <c r="X70" s="4">
        <f t="shared" si="25"/>
        <v>0</v>
      </c>
      <c r="Y70" s="4">
        <f t="shared" si="26"/>
        <v>0</v>
      </c>
    </row>
    <row r="71" spans="1:25" ht="27" hidden="1" customHeight="1" x14ac:dyDescent="0.15">
      <c r="A71" s="1">
        <v>69</v>
      </c>
      <c r="B71" s="1" t="s">
        <v>215</v>
      </c>
      <c r="C71" s="1">
        <v>55</v>
      </c>
      <c r="G71" s="96" t="str">
        <f t="shared" si="14"/>
        <v>XF55</v>
      </c>
      <c r="H71" s="2" t="s">
        <v>62</v>
      </c>
      <c r="I71" s="63"/>
      <c r="K71" s="1" t="s">
        <v>158</v>
      </c>
      <c r="L71" s="1">
        <f t="shared" si="15"/>
        <v>203</v>
      </c>
      <c r="M71" s="1">
        <f t="shared" si="16"/>
        <v>190</v>
      </c>
      <c r="N71" s="1">
        <f t="shared" si="17"/>
        <v>162</v>
      </c>
      <c r="O71" s="97">
        <f t="shared" si="18"/>
        <v>0.20392156862745098</v>
      </c>
      <c r="P71" s="97">
        <f t="shared" si="18"/>
        <v>0.25490196078431371</v>
      </c>
      <c r="Q71" s="97">
        <f t="shared" si="18"/>
        <v>0.36470588235294116</v>
      </c>
      <c r="R71" s="4">
        <f t="shared" si="19"/>
        <v>0</v>
      </c>
      <c r="S71" s="4">
        <f t="shared" si="20"/>
        <v>6.4039408866995051E-2</v>
      </c>
      <c r="T71" s="4">
        <f t="shared" si="21"/>
        <v>0.20197044334975367</v>
      </c>
      <c r="U71" s="4">
        <f t="shared" si="22"/>
        <v>0.20392156862745098</v>
      </c>
      <c r="V71" s="4">
        <f t="shared" si="23"/>
        <v>0</v>
      </c>
      <c r="W71" s="4">
        <f t="shared" si="24"/>
        <v>0</v>
      </c>
      <c r="X71" s="4">
        <f t="shared" si="25"/>
        <v>0</v>
      </c>
      <c r="Y71" s="4">
        <f t="shared" si="26"/>
        <v>0</v>
      </c>
    </row>
    <row r="72" spans="1:25" ht="27" hidden="1" customHeight="1" x14ac:dyDescent="0.15">
      <c r="A72" s="1">
        <v>70</v>
      </c>
      <c r="B72" s="1" t="s">
        <v>215</v>
      </c>
      <c r="C72" s="1">
        <v>56</v>
      </c>
      <c r="G72" s="96" t="str">
        <f t="shared" si="14"/>
        <v>XF56</v>
      </c>
      <c r="H72" s="2" t="s">
        <v>63</v>
      </c>
      <c r="I72" s="64"/>
      <c r="K72" s="1" t="s">
        <v>159</v>
      </c>
      <c r="L72" s="1">
        <f t="shared" si="15"/>
        <v>114</v>
      </c>
      <c r="M72" s="1">
        <f t="shared" si="16"/>
        <v>113</v>
      </c>
      <c r="N72" s="1">
        <f t="shared" si="17"/>
        <v>113</v>
      </c>
      <c r="O72" s="97">
        <f t="shared" si="18"/>
        <v>0.55294117647058827</v>
      </c>
      <c r="P72" s="97">
        <f t="shared" si="18"/>
        <v>0.55686274509803924</v>
      </c>
      <c r="Q72" s="97">
        <f t="shared" si="18"/>
        <v>0.55686274509803924</v>
      </c>
      <c r="R72" s="4">
        <f t="shared" si="19"/>
        <v>0</v>
      </c>
      <c r="S72" s="4">
        <f t="shared" si="20"/>
        <v>8.7719298245613735E-3</v>
      </c>
      <c r="T72" s="4">
        <f t="shared" si="21"/>
        <v>8.7719298245613735E-3</v>
      </c>
      <c r="U72" s="4">
        <f t="shared" si="22"/>
        <v>0.55294117647058827</v>
      </c>
      <c r="V72" s="4">
        <f t="shared" si="23"/>
        <v>0</v>
      </c>
      <c r="W72" s="4">
        <f t="shared" si="24"/>
        <v>0</v>
      </c>
      <c r="X72" s="4">
        <f t="shared" si="25"/>
        <v>0</v>
      </c>
      <c r="Y72" s="4">
        <f t="shared" si="26"/>
        <v>0</v>
      </c>
    </row>
    <row r="73" spans="1:25" ht="27" hidden="1" customHeight="1" x14ac:dyDescent="0.15">
      <c r="A73" s="1">
        <v>71</v>
      </c>
      <c r="B73" s="1" t="s">
        <v>215</v>
      </c>
      <c r="C73" s="1">
        <v>57</v>
      </c>
      <c r="G73" s="96" t="str">
        <f t="shared" si="14"/>
        <v>XF57</v>
      </c>
      <c r="H73" s="2" t="s">
        <v>64</v>
      </c>
      <c r="I73" s="65"/>
      <c r="K73" s="1" t="s">
        <v>160</v>
      </c>
      <c r="L73" s="1">
        <f t="shared" si="15"/>
        <v>203</v>
      </c>
      <c r="M73" s="1">
        <f t="shared" si="16"/>
        <v>168</v>
      </c>
      <c r="N73" s="1">
        <f t="shared" si="17"/>
        <v>123</v>
      </c>
      <c r="O73" s="97">
        <f t="shared" si="18"/>
        <v>0.20392156862745098</v>
      </c>
      <c r="P73" s="97">
        <f t="shared" si="18"/>
        <v>0.3411764705882353</v>
      </c>
      <c r="Q73" s="97">
        <f t="shared" si="18"/>
        <v>0.51764705882352946</v>
      </c>
      <c r="R73" s="4">
        <f t="shared" si="19"/>
        <v>0</v>
      </c>
      <c r="S73" s="4">
        <f t="shared" si="20"/>
        <v>0.17241379310344829</v>
      </c>
      <c r="T73" s="4">
        <f t="shared" si="21"/>
        <v>0.39408866995073893</v>
      </c>
      <c r="U73" s="4">
        <f t="shared" si="22"/>
        <v>0.20392156862745098</v>
      </c>
      <c r="V73" s="4">
        <f t="shared" si="23"/>
        <v>0</v>
      </c>
      <c r="W73" s="4">
        <f t="shared" si="24"/>
        <v>0</v>
      </c>
      <c r="X73" s="4">
        <f t="shared" si="25"/>
        <v>0</v>
      </c>
      <c r="Y73" s="4">
        <f t="shared" si="26"/>
        <v>0</v>
      </c>
    </row>
    <row r="74" spans="1:25" ht="27" hidden="1" customHeight="1" x14ac:dyDescent="0.15">
      <c r="A74" s="1">
        <v>72</v>
      </c>
      <c r="B74" s="1" t="s">
        <v>215</v>
      </c>
      <c r="C74" s="1">
        <v>58</v>
      </c>
      <c r="G74" s="96" t="str">
        <f t="shared" si="14"/>
        <v>XF58</v>
      </c>
      <c r="H74" s="2" t="s">
        <v>65</v>
      </c>
      <c r="I74" s="66"/>
      <c r="K74" s="1" t="s">
        <v>161</v>
      </c>
      <c r="L74" s="1">
        <f t="shared" si="15"/>
        <v>35</v>
      </c>
      <c r="M74" s="1">
        <f t="shared" si="16"/>
        <v>73</v>
      </c>
      <c r="N74" s="1">
        <f t="shared" si="17"/>
        <v>56</v>
      </c>
      <c r="O74" s="97">
        <f t="shared" si="18"/>
        <v>0.86274509803921573</v>
      </c>
      <c r="P74" s="97">
        <f t="shared" si="18"/>
        <v>0.71372549019607845</v>
      </c>
      <c r="Q74" s="97">
        <f t="shared" si="18"/>
        <v>0.7803921568627451</v>
      </c>
      <c r="R74" s="4">
        <f t="shared" si="19"/>
        <v>0.52054794520547953</v>
      </c>
      <c r="S74" s="4">
        <f t="shared" si="20"/>
        <v>0</v>
      </c>
      <c r="T74" s="4">
        <f t="shared" si="21"/>
        <v>0.23287671232876708</v>
      </c>
      <c r="U74" s="4">
        <f t="shared" si="22"/>
        <v>0.71372549019607845</v>
      </c>
      <c r="V74" s="4">
        <f t="shared" si="23"/>
        <v>0</v>
      </c>
      <c r="W74" s="4">
        <f t="shared" si="24"/>
        <v>0</v>
      </c>
      <c r="X74" s="4">
        <f t="shared" si="25"/>
        <v>0</v>
      </c>
      <c r="Y74" s="4">
        <f t="shared" si="26"/>
        <v>0</v>
      </c>
    </row>
    <row r="75" spans="1:25" ht="27" hidden="1" customHeight="1" x14ac:dyDescent="0.15">
      <c r="A75" s="1">
        <v>73</v>
      </c>
      <c r="B75" s="1" t="s">
        <v>215</v>
      </c>
      <c r="C75" s="1">
        <v>59</v>
      </c>
      <c r="G75" s="96" t="str">
        <f t="shared" si="14"/>
        <v>XF59</v>
      </c>
      <c r="H75" s="2" t="s">
        <v>66</v>
      </c>
      <c r="I75" s="67"/>
      <c r="K75" s="1" t="s">
        <v>230</v>
      </c>
      <c r="L75" s="1">
        <f t="shared" si="15"/>
        <v>242</v>
      </c>
      <c r="M75" s="1">
        <f t="shared" si="16"/>
        <v>198</v>
      </c>
      <c r="N75" s="1">
        <f t="shared" si="17"/>
        <v>134</v>
      </c>
      <c r="O75" s="97">
        <f t="shared" si="18"/>
        <v>5.0980392156862744E-2</v>
      </c>
      <c r="P75" s="97">
        <f t="shared" si="18"/>
        <v>0.22352941176470589</v>
      </c>
      <c r="Q75" s="97">
        <f t="shared" si="18"/>
        <v>0.47450980392156861</v>
      </c>
      <c r="R75" s="4">
        <f t="shared" si="19"/>
        <v>0</v>
      </c>
      <c r="S75" s="4">
        <f t="shared" si="20"/>
        <v>0.18181818181818182</v>
      </c>
      <c r="T75" s="4">
        <f t="shared" si="21"/>
        <v>0.4462809917355372</v>
      </c>
      <c r="U75" s="4">
        <f t="shared" si="22"/>
        <v>5.0980392156862744E-2</v>
      </c>
      <c r="V75" s="4">
        <f t="shared" si="23"/>
        <v>0</v>
      </c>
      <c r="W75" s="4">
        <f t="shared" si="24"/>
        <v>0</v>
      </c>
      <c r="X75" s="4">
        <f t="shared" si="25"/>
        <v>0</v>
      </c>
      <c r="Y75" s="4">
        <f t="shared" si="26"/>
        <v>0</v>
      </c>
    </row>
    <row r="76" spans="1:25" ht="27" hidden="1" customHeight="1" x14ac:dyDescent="0.15">
      <c r="A76" s="1">
        <v>74</v>
      </c>
      <c r="B76" s="1" t="s">
        <v>215</v>
      </c>
      <c r="C76" s="1">
        <v>60</v>
      </c>
      <c r="G76" s="96" t="str">
        <f t="shared" si="14"/>
        <v>XF60</v>
      </c>
      <c r="H76" s="2" t="s">
        <v>67</v>
      </c>
      <c r="I76" s="68"/>
      <c r="K76" s="1" t="s">
        <v>162</v>
      </c>
      <c r="L76" s="1">
        <f t="shared" si="15"/>
        <v>199</v>
      </c>
      <c r="M76" s="1">
        <f t="shared" si="16"/>
        <v>178</v>
      </c>
      <c r="N76" s="1">
        <f t="shared" si="17"/>
        <v>64</v>
      </c>
      <c r="O76" s="97">
        <f t="shared" si="18"/>
        <v>0.2196078431372549</v>
      </c>
      <c r="P76" s="97">
        <f t="shared" si="18"/>
        <v>0.30196078431372547</v>
      </c>
      <c r="Q76" s="97">
        <f t="shared" si="18"/>
        <v>0.74901960784313726</v>
      </c>
      <c r="R76" s="4">
        <f t="shared" si="19"/>
        <v>0</v>
      </c>
      <c r="S76" s="4">
        <f t="shared" si="20"/>
        <v>0.10552763819095476</v>
      </c>
      <c r="T76" s="4">
        <f t="shared" si="21"/>
        <v>0.67839195979899503</v>
      </c>
      <c r="U76" s="4">
        <f t="shared" si="22"/>
        <v>0.2196078431372549</v>
      </c>
      <c r="V76" s="4">
        <f t="shared" si="23"/>
        <v>0</v>
      </c>
      <c r="W76" s="4">
        <f t="shared" si="24"/>
        <v>0</v>
      </c>
      <c r="X76" s="4">
        <f t="shared" si="25"/>
        <v>0</v>
      </c>
      <c r="Y76" s="4">
        <f t="shared" si="26"/>
        <v>0</v>
      </c>
    </row>
    <row r="77" spans="1:25" ht="27" hidden="1" customHeight="1" x14ac:dyDescent="0.15">
      <c r="A77" s="1">
        <v>75</v>
      </c>
      <c r="B77" s="1" t="s">
        <v>215</v>
      </c>
      <c r="C77" s="1">
        <v>61</v>
      </c>
      <c r="G77" s="96" t="str">
        <f t="shared" si="14"/>
        <v>XF61</v>
      </c>
      <c r="H77" s="2" t="s">
        <v>68</v>
      </c>
      <c r="I77" s="55"/>
      <c r="K77" s="1" t="s">
        <v>150</v>
      </c>
      <c r="L77" s="1">
        <f t="shared" si="15"/>
        <v>0</v>
      </c>
      <c r="M77" s="1">
        <f t="shared" si="16"/>
        <v>71</v>
      </c>
      <c r="N77" s="1">
        <f t="shared" si="17"/>
        <v>49</v>
      </c>
      <c r="O77" s="97">
        <f t="shared" si="18"/>
        <v>1</v>
      </c>
      <c r="P77" s="97">
        <f t="shared" si="18"/>
        <v>0.72156862745098038</v>
      </c>
      <c r="Q77" s="97">
        <f t="shared" si="18"/>
        <v>0.80784313725490198</v>
      </c>
      <c r="R77" s="4">
        <f t="shared" si="19"/>
        <v>1</v>
      </c>
      <c r="S77" s="4">
        <f t="shared" si="20"/>
        <v>0</v>
      </c>
      <c r="T77" s="4">
        <f t="shared" si="21"/>
        <v>0.30985915492957755</v>
      </c>
      <c r="U77" s="4">
        <f t="shared" si="22"/>
        <v>0.72156862745098038</v>
      </c>
      <c r="V77" s="4">
        <f t="shared" si="23"/>
        <v>0</v>
      </c>
      <c r="W77" s="4">
        <f t="shared" si="24"/>
        <v>0</v>
      </c>
      <c r="X77" s="4">
        <f t="shared" si="25"/>
        <v>0</v>
      </c>
      <c r="Y77" s="4">
        <f t="shared" si="26"/>
        <v>0</v>
      </c>
    </row>
    <row r="78" spans="1:25" ht="27" hidden="1" customHeight="1" x14ac:dyDescent="0.15">
      <c r="A78" s="1">
        <v>76</v>
      </c>
      <c r="B78" s="1" t="s">
        <v>215</v>
      </c>
      <c r="C78" s="1">
        <v>62</v>
      </c>
      <c r="G78" s="96" t="str">
        <f t="shared" si="14"/>
        <v>XF62</v>
      </c>
      <c r="H78" s="2" t="s">
        <v>69</v>
      </c>
      <c r="I78" s="69"/>
      <c r="K78" s="1" t="s">
        <v>163</v>
      </c>
      <c r="L78" s="1">
        <f t="shared" si="15"/>
        <v>72</v>
      </c>
      <c r="M78" s="1">
        <f t="shared" si="16"/>
        <v>90</v>
      </c>
      <c r="N78" s="1">
        <f t="shared" si="17"/>
        <v>60</v>
      </c>
      <c r="O78" s="97">
        <f t="shared" si="18"/>
        <v>0.71764705882352942</v>
      </c>
      <c r="P78" s="97">
        <f t="shared" si="18"/>
        <v>0.6470588235294118</v>
      </c>
      <c r="Q78" s="97">
        <f t="shared" si="18"/>
        <v>0.76470588235294112</v>
      </c>
      <c r="R78" s="4">
        <f t="shared" si="19"/>
        <v>0.19999999999999993</v>
      </c>
      <c r="S78" s="4">
        <f t="shared" si="20"/>
        <v>0</v>
      </c>
      <c r="T78" s="4">
        <f t="shared" si="21"/>
        <v>0.33333333333333315</v>
      </c>
      <c r="U78" s="4">
        <f t="shared" si="22"/>
        <v>0.6470588235294118</v>
      </c>
      <c r="V78" s="4">
        <f t="shared" si="23"/>
        <v>0</v>
      </c>
      <c r="W78" s="4">
        <f t="shared" si="24"/>
        <v>0</v>
      </c>
      <c r="X78" s="4">
        <f t="shared" si="25"/>
        <v>0</v>
      </c>
      <c r="Y78" s="4">
        <f t="shared" si="26"/>
        <v>0</v>
      </c>
    </row>
    <row r="79" spans="1:25" ht="27" hidden="1" customHeight="1" x14ac:dyDescent="0.15">
      <c r="A79" s="1">
        <v>77</v>
      </c>
      <c r="B79" s="1" t="s">
        <v>215</v>
      </c>
      <c r="C79" s="1">
        <v>63</v>
      </c>
      <c r="G79" s="96" t="str">
        <f t="shared" si="14"/>
        <v>XF63</v>
      </c>
      <c r="H79" s="2" t="s">
        <v>70</v>
      </c>
      <c r="I79" s="70"/>
      <c r="K79" s="1" t="s">
        <v>164</v>
      </c>
      <c r="L79" s="1">
        <f t="shared" si="15"/>
        <v>67</v>
      </c>
      <c r="M79" s="1">
        <f t="shared" si="16"/>
        <v>103</v>
      </c>
      <c r="N79" s="1">
        <f t="shared" si="17"/>
        <v>119</v>
      </c>
      <c r="O79" s="97">
        <f t="shared" si="18"/>
        <v>0.73725490196078436</v>
      </c>
      <c r="P79" s="97">
        <f t="shared" si="18"/>
        <v>0.59607843137254901</v>
      </c>
      <c r="Q79" s="97">
        <f t="shared" si="18"/>
        <v>0.53333333333333333</v>
      </c>
      <c r="R79" s="4">
        <f t="shared" si="19"/>
        <v>0.4369747899159665</v>
      </c>
      <c r="S79" s="4">
        <f t="shared" si="20"/>
        <v>0.13445378151260504</v>
      </c>
      <c r="T79" s="4">
        <f t="shared" si="21"/>
        <v>0</v>
      </c>
      <c r="U79" s="4">
        <f t="shared" si="22"/>
        <v>0.53333333333333333</v>
      </c>
      <c r="V79" s="4">
        <f t="shared" si="23"/>
        <v>0</v>
      </c>
      <c r="W79" s="4">
        <f t="shared" si="24"/>
        <v>0</v>
      </c>
      <c r="X79" s="4">
        <f t="shared" si="25"/>
        <v>0</v>
      </c>
      <c r="Y79" s="4">
        <f t="shared" si="26"/>
        <v>0</v>
      </c>
    </row>
    <row r="80" spans="1:25" ht="27" hidden="1" customHeight="1" x14ac:dyDescent="0.15">
      <c r="A80" s="1">
        <v>78</v>
      </c>
      <c r="B80" s="1" t="s">
        <v>215</v>
      </c>
      <c r="C80" s="1">
        <v>64</v>
      </c>
      <c r="G80" s="96" t="str">
        <f t="shared" si="14"/>
        <v>XF64</v>
      </c>
      <c r="H80" s="2" t="s">
        <v>71</v>
      </c>
      <c r="I80" s="71"/>
      <c r="K80" s="1" t="s">
        <v>165</v>
      </c>
      <c r="L80" s="1">
        <f t="shared" si="15"/>
        <v>80</v>
      </c>
      <c r="M80" s="1">
        <f t="shared" si="16"/>
        <v>57</v>
      </c>
      <c r="N80" s="1">
        <f t="shared" si="17"/>
        <v>40</v>
      </c>
      <c r="O80" s="97">
        <f t="shared" si="18"/>
        <v>0.68627450980392157</v>
      </c>
      <c r="P80" s="97">
        <f t="shared" si="18"/>
        <v>0.77647058823529413</v>
      </c>
      <c r="Q80" s="97">
        <f t="shared" si="18"/>
        <v>0.84313725490196079</v>
      </c>
      <c r="R80" s="4">
        <f t="shared" si="19"/>
        <v>0</v>
      </c>
      <c r="S80" s="4">
        <f t="shared" si="20"/>
        <v>0.28750000000000003</v>
      </c>
      <c r="T80" s="4">
        <f t="shared" si="21"/>
        <v>0.5</v>
      </c>
      <c r="U80" s="4">
        <f t="shared" si="22"/>
        <v>0.68627450980392157</v>
      </c>
      <c r="V80" s="4">
        <f t="shared" si="23"/>
        <v>0</v>
      </c>
      <c r="W80" s="4">
        <f t="shared" si="24"/>
        <v>0</v>
      </c>
      <c r="X80" s="4">
        <f t="shared" si="25"/>
        <v>0</v>
      </c>
      <c r="Y80" s="4">
        <f t="shared" si="26"/>
        <v>0</v>
      </c>
    </row>
    <row r="81" spans="1:25" ht="27" hidden="1" customHeight="1" x14ac:dyDescent="0.15">
      <c r="A81" s="1">
        <v>79</v>
      </c>
      <c r="B81" s="1" t="s">
        <v>215</v>
      </c>
      <c r="C81" s="1">
        <v>65</v>
      </c>
      <c r="G81" s="96" t="str">
        <f t="shared" si="14"/>
        <v>XF65</v>
      </c>
      <c r="H81" s="2" t="s">
        <v>72</v>
      </c>
      <c r="I81" s="72"/>
      <c r="K81" s="1" t="s">
        <v>166</v>
      </c>
      <c r="L81" s="1">
        <f t="shared" si="15"/>
        <v>62</v>
      </c>
      <c r="M81" s="1">
        <f t="shared" si="16"/>
        <v>107</v>
      </c>
      <c r="N81" s="1">
        <f t="shared" si="17"/>
        <v>118</v>
      </c>
      <c r="O81" s="97">
        <f t="shared" si="18"/>
        <v>0.75686274509803919</v>
      </c>
      <c r="P81" s="97">
        <f t="shared" si="18"/>
        <v>0.58039215686274515</v>
      </c>
      <c r="Q81" s="97">
        <f t="shared" si="18"/>
        <v>0.53725490196078429</v>
      </c>
      <c r="R81" s="4">
        <f t="shared" si="19"/>
        <v>0.47457627118644063</v>
      </c>
      <c r="S81" s="4">
        <f t="shared" si="20"/>
        <v>9.3220338983050988E-2</v>
      </c>
      <c r="T81" s="4">
        <f t="shared" si="21"/>
        <v>0</v>
      </c>
      <c r="U81" s="4">
        <f t="shared" si="22"/>
        <v>0.53725490196078429</v>
      </c>
      <c r="V81" s="4">
        <f t="shared" si="23"/>
        <v>0</v>
      </c>
      <c r="W81" s="4">
        <f t="shared" si="24"/>
        <v>0</v>
      </c>
      <c r="X81" s="4">
        <f t="shared" si="25"/>
        <v>0</v>
      </c>
      <c r="Y81" s="4">
        <f t="shared" si="26"/>
        <v>0</v>
      </c>
    </row>
    <row r="82" spans="1:25" ht="27" hidden="1" customHeight="1" x14ac:dyDescent="0.15">
      <c r="A82" s="1">
        <v>80</v>
      </c>
      <c r="B82" s="1" t="s">
        <v>215</v>
      </c>
      <c r="C82" s="1">
        <v>66</v>
      </c>
      <c r="G82" s="96" t="str">
        <f t="shared" si="14"/>
        <v>XF66</v>
      </c>
      <c r="H82" s="2" t="s">
        <v>73</v>
      </c>
      <c r="I82" s="73"/>
      <c r="K82" s="1" t="s">
        <v>167</v>
      </c>
      <c r="L82" s="1">
        <f t="shared" si="15"/>
        <v>80</v>
      </c>
      <c r="M82" s="1">
        <f t="shared" si="16"/>
        <v>105</v>
      </c>
      <c r="N82" s="1">
        <f t="shared" si="17"/>
        <v>118</v>
      </c>
      <c r="O82" s="97">
        <f t="shared" si="18"/>
        <v>0.68627450980392157</v>
      </c>
      <c r="P82" s="97">
        <f t="shared" si="18"/>
        <v>0.58823529411764708</v>
      </c>
      <c r="Q82" s="97">
        <f t="shared" si="18"/>
        <v>0.53725490196078429</v>
      </c>
      <c r="R82" s="4">
        <f t="shared" si="19"/>
        <v>0.32203389830508478</v>
      </c>
      <c r="S82" s="4">
        <f t="shared" si="20"/>
        <v>0.11016949152542381</v>
      </c>
      <c r="T82" s="4">
        <f t="shared" si="21"/>
        <v>0</v>
      </c>
      <c r="U82" s="4">
        <f t="shared" si="22"/>
        <v>0.53725490196078429</v>
      </c>
      <c r="V82" s="4">
        <f t="shared" si="23"/>
        <v>0</v>
      </c>
      <c r="W82" s="4">
        <f t="shared" si="24"/>
        <v>0</v>
      </c>
      <c r="X82" s="4">
        <f t="shared" si="25"/>
        <v>0</v>
      </c>
      <c r="Y82" s="4">
        <f t="shared" si="26"/>
        <v>0</v>
      </c>
    </row>
    <row r="83" spans="1:25" ht="27" hidden="1" customHeight="1" x14ac:dyDescent="0.15">
      <c r="A83" s="1">
        <v>81</v>
      </c>
      <c r="B83" s="1" t="s">
        <v>215</v>
      </c>
      <c r="C83" s="1">
        <v>67</v>
      </c>
      <c r="G83" s="96" t="str">
        <f t="shared" si="14"/>
        <v>XF67</v>
      </c>
      <c r="H83" s="2" t="s">
        <v>74</v>
      </c>
      <c r="I83" s="74"/>
      <c r="K83" s="1" t="s">
        <v>169</v>
      </c>
      <c r="L83" s="1">
        <f t="shared" si="15"/>
        <v>41</v>
      </c>
      <c r="M83" s="1">
        <f t="shared" si="16"/>
        <v>85</v>
      </c>
      <c r="N83" s="1">
        <f t="shared" si="17"/>
        <v>56</v>
      </c>
      <c r="O83" s="97">
        <f t="shared" si="18"/>
        <v>0.83921568627450982</v>
      </c>
      <c r="P83" s="97">
        <f t="shared" si="18"/>
        <v>0.66666666666666663</v>
      </c>
      <c r="Q83" s="97">
        <f t="shared" si="18"/>
        <v>0.7803921568627451</v>
      </c>
      <c r="R83" s="4">
        <f t="shared" si="19"/>
        <v>0.51764705882352946</v>
      </c>
      <c r="S83" s="4">
        <f t="shared" si="20"/>
        <v>0</v>
      </c>
      <c r="T83" s="4">
        <f t="shared" si="21"/>
        <v>0.34117647058823536</v>
      </c>
      <c r="U83" s="4">
        <f t="shared" si="22"/>
        <v>0.66666666666666663</v>
      </c>
      <c r="V83" s="4">
        <f t="shared" si="23"/>
        <v>0</v>
      </c>
      <c r="W83" s="4">
        <f t="shared" si="24"/>
        <v>0</v>
      </c>
      <c r="X83" s="4">
        <f t="shared" si="25"/>
        <v>0</v>
      </c>
      <c r="Y83" s="4">
        <f t="shared" si="26"/>
        <v>0</v>
      </c>
    </row>
    <row r="84" spans="1:25" ht="27" hidden="1" customHeight="1" x14ac:dyDescent="0.15">
      <c r="A84" s="1">
        <v>82</v>
      </c>
      <c r="B84" s="1" t="s">
        <v>215</v>
      </c>
      <c r="C84" s="1">
        <v>68</v>
      </c>
      <c r="G84" s="96" t="str">
        <f t="shared" si="14"/>
        <v>XF68</v>
      </c>
      <c r="H84" s="2" t="s">
        <v>76</v>
      </c>
      <c r="I84" s="75"/>
      <c r="K84" s="1" t="s">
        <v>168</v>
      </c>
      <c r="L84" s="1">
        <f t="shared" si="15"/>
        <v>106</v>
      </c>
      <c r="M84" s="1">
        <f t="shared" si="16"/>
        <v>75</v>
      </c>
      <c r="N84" s="1">
        <f t="shared" si="17"/>
        <v>49</v>
      </c>
      <c r="O84" s="97">
        <f t="shared" si="18"/>
        <v>0.58431372549019611</v>
      </c>
      <c r="P84" s="97">
        <f t="shared" si="18"/>
        <v>0.70588235294117652</v>
      </c>
      <c r="Q84" s="97">
        <f t="shared" si="18"/>
        <v>0.80784313725490198</v>
      </c>
      <c r="R84" s="4">
        <f t="shared" si="19"/>
        <v>0</v>
      </c>
      <c r="S84" s="4">
        <f t="shared" si="20"/>
        <v>0.29245283018867929</v>
      </c>
      <c r="T84" s="4">
        <f t="shared" si="21"/>
        <v>0.53773584905660377</v>
      </c>
      <c r="U84" s="4">
        <f t="shared" si="22"/>
        <v>0.58431372549019611</v>
      </c>
      <c r="V84" s="4">
        <f t="shared" si="23"/>
        <v>0</v>
      </c>
      <c r="W84" s="4">
        <f t="shared" si="24"/>
        <v>0</v>
      </c>
      <c r="X84" s="4">
        <f t="shared" si="25"/>
        <v>0</v>
      </c>
      <c r="Y84" s="4">
        <f t="shared" si="26"/>
        <v>0</v>
      </c>
    </row>
    <row r="85" spans="1:25" ht="27" hidden="1" customHeight="1" x14ac:dyDescent="0.15">
      <c r="A85" s="1">
        <v>83</v>
      </c>
      <c r="B85" s="1" t="s">
        <v>215</v>
      </c>
      <c r="C85" s="1">
        <v>69</v>
      </c>
      <c r="G85" s="96" t="str">
        <f t="shared" si="14"/>
        <v>XF69</v>
      </c>
      <c r="H85" s="2" t="s">
        <v>75</v>
      </c>
      <c r="I85" s="3"/>
      <c r="K85" s="1" t="s">
        <v>100</v>
      </c>
      <c r="L85" s="1">
        <f t="shared" si="15"/>
        <v>35</v>
      </c>
      <c r="M85" s="1">
        <f t="shared" si="16"/>
        <v>25</v>
      </c>
      <c r="N85" s="1">
        <f t="shared" si="17"/>
        <v>22</v>
      </c>
      <c r="O85" s="97">
        <f t="shared" si="18"/>
        <v>0.86274509803921573</v>
      </c>
      <c r="P85" s="97">
        <f t="shared" si="18"/>
        <v>0.90196078431372551</v>
      </c>
      <c r="Q85" s="97">
        <f t="shared" si="18"/>
        <v>0.9137254901960784</v>
      </c>
      <c r="R85" s="4">
        <f t="shared" si="19"/>
        <v>0</v>
      </c>
      <c r="S85" s="4">
        <f t="shared" si="20"/>
        <v>0.28571428571428559</v>
      </c>
      <c r="T85" s="4">
        <f t="shared" si="21"/>
        <v>0.37142857142857105</v>
      </c>
      <c r="U85" s="4">
        <f t="shared" si="22"/>
        <v>0.86274509803921573</v>
      </c>
      <c r="V85" s="4">
        <f t="shared" si="23"/>
        <v>0</v>
      </c>
      <c r="W85" s="4">
        <f t="shared" si="24"/>
        <v>0</v>
      </c>
      <c r="X85" s="4">
        <f t="shared" si="25"/>
        <v>0</v>
      </c>
      <c r="Y85" s="4">
        <f t="shared" si="26"/>
        <v>0</v>
      </c>
    </row>
    <row r="86" spans="1:25" ht="27" hidden="1" customHeight="1" x14ac:dyDescent="0.15">
      <c r="A86" s="1">
        <v>84</v>
      </c>
      <c r="B86" s="1" t="s">
        <v>215</v>
      </c>
      <c r="C86" s="1">
        <v>70</v>
      </c>
      <c r="G86" s="96" t="str">
        <f t="shared" si="14"/>
        <v>XF70</v>
      </c>
      <c r="H86" s="2" t="s">
        <v>77</v>
      </c>
      <c r="I86" s="76"/>
      <c r="K86" s="1" t="s">
        <v>170</v>
      </c>
      <c r="L86" s="1">
        <f t="shared" si="15"/>
        <v>6</v>
      </c>
      <c r="M86" s="1">
        <f t="shared" si="16"/>
        <v>66</v>
      </c>
      <c r="N86" s="1">
        <f t="shared" si="17"/>
        <v>52</v>
      </c>
      <c r="O86" s="97">
        <f t="shared" si="18"/>
        <v>0.97647058823529409</v>
      </c>
      <c r="P86" s="97">
        <f t="shared" si="18"/>
        <v>0.74117647058823533</v>
      </c>
      <c r="Q86" s="97">
        <f t="shared" si="18"/>
        <v>0.79607843137254897</v>
      </c>
      <c r="R86" s="4">
        <f t="shared" si="19"/>
        <v>0.90909090909090895</v>
      </c>
      <c r="S86" s="4">
        <f t="shared" si="20"/>
        <v>0</v>
      </c>
      <c r="T86" s="4">
        <f t="shared" si="21"/>
        <v>0.21212121212121182</v>
      </c>
      <c r="U86" s="4">
        <f t="shared" si="22"/>
        <v>0.74117647058823533</v>
      </c>
      <c r="V86" s="4">
        <f t="shared" si="23"/>
        <v>0</v>
      </c>
      <c r="W86" s="4">
        <f t="shared" si="24"/>
        <v>0</v>
      </c>
      <c r="X86" s="4">
        <f t="shared" si="25"/>
        <v>0</v>
      </c>
      <c r="Y86" s="4">
        <f t="shared" si="26"/>
        <v>0</v>
      </c>
    </row>
    <row r="87" spans="1:25" ht="27" hidden="1" customHeight="1" x14ac:dyDescent="0.15">
      <c r="A87" s="1">
        <v>85</v>
      </c>
      <c r="B87" s="1" t="s">
        <v>215</v>
      </c>
      <c r="C87" s="1">
        <v>71</v>
      </c>
      <c r="G87" s="96" t="str">
        <f t="shared" si="14"/>
        <v>XF71</v>
      </c>
      <c r="H87" s="2" t="s">
        <v>78</v>
      </c>
      <c r="I87" s="77"/>
      <c r="K87" s="1" t="s">
        <v>171</v>
      </c>
      <c r="L87" s="1">
        <f t="shared" si="15"/>
        <v>117</v>
      </c>
      <c r="M87" s="1">
        <f t="shared" si="16"/>
        <v>152</v>
      </c>
      <c r="N87" s="1">
        <f t="shared" si="17"/>
        <v>117</v>
      </c>
      <c r="O87" s="97">
        <f t="shared" si="18"/>
        <v>0.54117647058823526</v>
      </c>
      <c r="P87" s="97">
        <f t="shared" si="18"/>
        <v>0.40392156862745099</v>
      </c>
      <c r="Q87" s="97">
        <f t="shared" si="18"/>
        <v>0.54117647058823526</v>
      </c>
      <c r="R87" s="4">
        <f t="shared" si="19"/>
        <v>0.23026315789473678</v>
      </c>
      <c r="S87" s="4">
        <f t="shared" si="20"/>
        <v>0</v>
      </c>
      <c r="T87" s="4">
        <f t="shared" si="21"/>
        <v>0.23026315789473678</v>
      </c>
      <c r="U87" s="4">
        <f t="shared" si="22"/>
        <v>0.40392156862745099</v>
      </c>
      <c r="V87" s="4">
        <f t="shared" si="23"/>
        <v>0</v>
      </c>
      <c r="W87" s="4">
        <f t="shared" si="24"/>
        <v>0</v>
      </c>
      <c r="X87" s="4">
        <f t="shared" si="25"/>
        <v>0</v>
      </c>
      <c r="Y87" s="4">
        <f t="shared" si="26"/>
        <v>0</v>
      </c>
    </row>
    <row r="88" spans="1:25" ht="27" hidden="1" customHeight="1" x14ac:dyDescent="0.15">
      <c r="A88" s="1">
        <v>86</v>
      </c>
      <c r="B88" s="1" t="s">
        <v>215</v>
      </c>
      <c r="C88" s="1">
        <v>72</v>
      </c>
      <c r="G88" s="96" t="str">
        <f t="shared" si="14"/>
        <v>XF72</v>
      </c>
      <c r="H88" s="2" t="s">
        <v>79</v>
      </c>
      <c r="I88" s="78"/>
      <c r="K88" s="1" t="s">
        <v>172</v>
      </c>
      <c r="L88" s="1">
        <f t="shared" si="15"/>
        <v>127</v>
      </c>
      <c r="M88" s="1">
        <f t="shared" si="16"/>
        <v>92</v>
      </c>
      <c r="N88" s="1">
        <f t="shared" si="17"/>
        <v>46</v>
      </c>
      <c r="O88" s="97">
        <f t="shared" si="18"/>
        <v>0.50196078431372548</v>
      </c>
      <c r="P88" s="97">
        <f t="shared" si="18"/>
        <v>0.63921568627450975</v>
      </c>
      <c r="Q88" s="97">
        <f t="shared" si="18"/>
        <v>0.81960784313725488</v>
      </c>
      <c r="R88" s="4">
        <f t="shared" si="19"/>
        <v>0</v>
      </c>
      <c r="S88" s="4">
        <f t="shared" si="20"/>
        <v>0.27559055118110226</v>
      </c>
      <c r="T88" s="4">
        <f t="shared" si="21"/>
        <v>0.63779527559055116</v>
      </c>
      <c r="U88" s="4">
        <f t="shared" si="22"/>
        <v>0.50196078431372548</v>
      </c>
      <c r="V88" s="4">
        <f t="shared" si="23"/>
        <v>0</v>
      </c>
      <c r="W88" s="4">
        <f t="shared" si="24"/>
        <v>0</v>
      </c>
      <c r="X88" s="4">
        <f t="shared" si="25"/>
        <v>0</v>
      </c>
      <c r="Y88" s="4">
        <f t="shared" si="26"/>
        <v>0</v>
      </c>
    </row>
    <row r="89" spans="1:25" ht="27" hidden="1" customHeight="1" x14ac:dyDescent="0.15">
      <c r="A89" s="1">
        <v>87</v>
      </c>
      <c r="B89" s="1" t="s">
        <v>215</v>
      </c>
      <c r="C89" s="1">
        <v>73</v>
      </c>
      <c r="G89" s="96" t="str">
        <f t="shared" si="14"/>
        <v>XF73</v>
      </c>
      <c r="H89" s="2" t="s">
        <v>80</v>
      </c>
      <c r="I89" s="79"/>
      <c r="K89" s="1" t="s">
        <v>173</v>
      </c>
      <c r="L89" s="1">
        <f t="shared" si="15"/>
        <v>33</v>
      </c>
      <c r="M89" s="1">
        <f t="shared" si="16"/>
        <v>96</v>
      </c>
      <c r="N89" s="1">
        <f t="shared" si="17"/>
        <v>58</v>
      </c>
      <c r="O89" s="97">
        <f t="shared" si="18"/>
        <v>0.87058823529411766</v>
      </c>
      <c r="P89" s="97">
        <f t="shared" si="18"/>
        <v>0.62352941176470589</v>
      </c>
      <c r="Q89" s="97">
        <f t="shared" si="18"/>
        <v>0.77254901960784317</v>
      </c>
      <c r="R89" s="4">
        <f t="shared" si="19"/>
        <v>0.65625</v>
      </c>
      <c r="S89" s="4">
        <f t="shared" si="20"/>
        <v>0</v>
      </c>
      <c r="T89" s="4">
        <f t="shared" si="21"/>
        <v>0.39583333333333343</v>
      </c>
      <c r="U89" s="4">
        <f t="shared" si="22"/>
        <v>0.62352941176470589</v>
      </c>
      <c r="V89" s="4">
        <f t="shared" si="23"/>
        <v>0</v>
      </c>
      <c r="W89" s="4">
        <f t="shared" si="24"/>
        <v>0</v>
      </c>
      <c r="X89" s="4">
        <f t="shared" si="25"/>
        <v>0</v>
      </c>
      <c r="Y89" s="4">
        <f t="shared" si="26"/>
        <v>0</v>
      </c>
    </row>
    <row r="90" spans="1:25" ht="27" hidden="1" customHeight="1" x14ac:dyDescent="0.15">
      <c r="A90" s="1">
        <v>88</v>
      </c>
      <c r="B90" s="1" t="s">
        <v>215</v>
      </c>
      <c r="C90" s="1">
        <v>74</v>
      </c>
      <c r="G90" s="96" t="str">
        <f t="shared" si="14"/>
        <v>XF74</v>
      </c>
      <c r="H90" s="2" t="s">
        <v>81</v>
      </c>
      <c r="I90" s="74"/>
      <c r="K90" s="1" t="s">
        <v>169</v>
      </c>
      <c r="L90" s="1">
        <f t="shared" si="15"/>
        <v>41</v>
      </c>
      <c r="M90" s="1">
        <f t="shared" si="16"/>
        <v>85</v>
      </c>
      <c r="N90" s="1">
        <f t="shared" si="17"/>
        <v>56</v>
      </c>
      <c r="O90" s="97">
        <f t="shared" si="18"/>
        <v>0.83921568627450982</v>
      </c>
      <c r="P90" s="97">
        <f t="shared" si="18"/>
        <v>0.66666666666666663</v>
      </c>
      <c r="Q90" s="97">
        <f t="shared" si="18"/>
        <v>0.7803921568627451</v>
      </c>
      <c r="R90" s="4">
        <f t="shared" si="19"/>
        <v>0.51764705882352946</v>
      </c>
      <c r="S90" s="4">
        <f t="shared" si="20"/>
        <v>0</v>
      </c>
      <c r="T90" s="4">
        <f t="shared" si="21"/>
        <v>0.34117647058823536</v>
      </c>
      <c r="U90" s="4">
        <f t="shared" si="22"/>
        <v>0.66666666666666663</v>
      </c>
      <c r="V90" s="4">
        <f t="shared" si="23"/>
        <v>0</v>
      </c>
      <c r="W90" s="4">
        <f t="shared" si="24"/>
        <v>0</v>
      </c>
      <c r="X90" s="4">
        <f t="shared" si="25"/>
        <v>0</v>
      </c>
      <c r="Y90" s="4">
        <f t="shared" si="26"/>
        <v>0</v>
      </c>
    </row>
    <row r="91" spans="1:25" ht="27" hidden="1" customHeight="1" x14ac:dyDescent="0.15">
      <c r="A91" s="1">
        <v>89</v>
      </c>
      <c r="B91" s="1" t="s">
        <v>215</v>
      </c>
      <c r="C91" s="1">
        <v>75</v>
      </c>
      <c r="G91" s="96" t="str">
        <f t="shared" si="14"/>
        <v>XF75</v>
      </c>
      <c r="H91" s="2" t="s">
        <v>82</v>
      </c>
      <c r="I91" s="80"/>
      <c r="K91" s="1" t="s">
        <v>174</v>
      </c>
      <c r="L91" s="1">
        <f t="shared" si="15"/>
        <v>113</v>
      </c>
      <c r="M91" s="1">
        <f t="shared" si="16"/>
        <v>123</v>
      </c>
      <c r="N91" s="1">
        <f t="shared" si="17"/>
        <v>133</v>
      </c>
      <c r="O91" s="97">
        <f t="shared" si="18"/>
        <v>0.55686274509803924</v>
      </c>
      <c r="P91" s="97">
        <f t="shared" si="18"/>
        <v>0.51764705882352946</v>
      </c>
      <c r="Q91" s="97">
        <f t="shared" si="18"/>
        <v>0.47843137254901963</v>
      </c>
      <c r="R91" s="4">
        <f t="shared" si="19"/>
        <v>0.15037593984962408</v>
      </c>
      <c r="S91" s="4">
        <f t="shared" si="20"/>
        <v>7.5187969924812095E-2</v>
      </c>
      <c r="T91" s="4">
        <f t="shared" si="21"/>
        <v>0</v>
      </c>
      <c r="U91" s="4">
        <f t="shared" si="22"/>
        <v>0.47843137254901963</v>
      </c>
      <c r="V91" s="4">
        <f t="shared" si="23"/>
        <v>0</v>
      </c>
      <c r="W91" s="4">
        <f t="shared" si="24"/>
        <v>0</v>
      </c>
      <c r="X91" s="4">
        <f t="shared" si="25"/>
        <v>0</v>
      </c>
      <c r="Y91" s="4">
        <f t="shared" si="26"/>
        <v>0</v>
      </c>
    </row>
    <row r="92" spans="1:25" ht="27" hidden="1" customHeight="1" x14ac:dyDescent="0.15">
      <c r="A92" s="1">
        <v>90</v>
      </c>
      <c r="B92" s="1" t="s">
        <v>215</v>
      </c>
      <c r="C92" s="1">
        <v>76</v>
      </c>
      <c r="G92" s="96" t="str">
        <f t="shared" si="14"/>
        <v>XF76</v>
      </c>
      <c r="H92" s="2" t="s">
        <v>83</v>
      </c>
      <c r="I92" s="81"/>
      <c r="K92" s="1" t="s">
        <v>175</v>
      </c>
      <c r="L92" s="1">
        <f t="shared" si="15"/>
        <v>185</v>
      </c>
      <c r="M92" s="1">
        <f t="shared" si="16"/>
        <v>195</v>
      </c>
      <c r="N92" s="1">
        <f t="shared" si="17"/>
        <v>167</v>
      </c>
      <c r="O92" s="97">
        <f t="shared" si="18"/>
        <v>0.27450980392156865</v>
      </c>
      <c r="P92" s="97">
        <f t="shared" si="18"/>
        <v>0.23529411764705882</v>
      </c>
      <c r="Q92" s="97">
        <f t="shared" si="18"/>
        <v>0.34509803921568627</v>
      </c>
      <c r="R92" s="4">
        <f t="shared" si="19"/>
        <v>5.1282051282051322E-2</v>
      </c>
      <c r="S92" s="4">
        <f t="shared" si="20"/>
        <v>0</v>
      </c>
      <c r="T92" s="4">
        <f t="shared" si="21"/>
        <v>0.14358974358974361</v>
      </c>
      <c r="U92" s="4">
        <f t="shared" si="22"/>
        <v>0.23529411764705882</v>
      </c>
      <c r="V92" s="4">
        <f t="shared" si="23"/>
        <v>0</v>
      </c>
      <c r="W92" s="4">
        <f t="shared" si="24"/>
        <v>0</v>
      </c>
      <c r="X92" s="4">
        <f t="shared" si="25"/>
        <v>0</v>
      </c>
      <c r="Y92" s="4">
        <f t="shared" si="26"/>
        <v>0</v>
      </c>
    </row>
    <row r="93" spans="1:25" ht="27" hidden="1" customHeight="1" x14ac:dyDescent="0.15">
      <c r="A93" s="1">
        <v>91</v>
      </c>
      <c r="B93" s="1" t="s">
        <v>215</v>
      </c>
      <c r="C93" s="1">
        <v>77</v>
      </c>
      <c r="G93" s="96" t="str">
        <f t="shared" si="14"/>
        <v>XF77</v>
      </c>
      <c r="H93" s="2" t="s">
        <v>84</v>
      </c>
      <c r="I93" s="82"/>
      <c r="K93" s="1" t="s">
        <v>176</v>
      </c>
      <c r="L93" s="1">
        <f t="shared" si="15"/>
        <v>83</v>
      </c>
      <c r="M93" s="1">
        <f t="shared" si="16"/>
        <v>87</v>
      </c>
      <c r="N93" s="1">
        <f t="shared" si="17"/>
        <v>96</v>
      </c>
      <c r="O93" s="97">
        <f t="shared" si="18"/>
        <v>0.67450980392156867</v>
      </c>
      <c r="P93" s="97">
        <f t="shared" si="18"/>
        <v>0.6588235294117647</v>
      </c>
      <c r="Q93" s="97">
        <f t="shared" si="18"/>
        <v>0.62352941176470589</v>
      </c>
      <c r="R93" s="4">
        <f t="shared" si="19"/>
        <v>0.13541666666666677</v>
      </c>
      <c r="S93" s="4">
        <f t="shared" si="20"/>
        <v>9.3749999999999958E-2</v>
      </c>
      <c r="T93" s="4">
        <f t="shared" si="21"/>
        <v>0</v>
      </c>
      <c r="U93" s="4">
        <f t="shared" si="22"/>
        <v>0.62352941176470589</v>
      </c>
      <c r="V93" s="4">
        <f t="shared" si="23"/>
        <v>0</v>
      </c>
      <c r="W93" s="4">
        <f t="shared" si="24"/>
        <v>0</v>
      </c>
      <c r="X93" s="4">
        <f t="shared" si="25"/>
        <v>0</v>
      </c>
      <c r="Y93" s="4">
        <f t="shared" si="26"/>
        <v>0</v>
      </c>
    </row>
    <row r="94" spans="1:25" ht="27" hidden="1" customHeight="1" x14ac:dyDescent="0.15">
      <c r="A94" s="1">
        <v>92</v>
      </c>
      <c r="B94" s="1" t="s">
        <v>215</v>
      </c>
      <c r="C94" s="1">
        <v>78</v>
      </c>
      <c r="G94" s="96" t="str">
        <f t="shared" si="14"/>
        <v>XF78</v>
      </c>
      <c r="H94" s="2" t="s">
        <v>88</v>
      </c>
      <c r="I94" s="83"/>
      <c r="K94" s="1" t="s">
        <v>177</v>
      </c>
      <c r="L94" s="1">
        <f t="shared" si="15"/>
        <v>190</v>
      </c>
      <c r="M94" s="1">
        <f t="shared" si="16"/>
        <v>175</v>
      </c>
      <c r="N94" s="1">
        <f t="shared" si="17"/>
        <v>133</v>
      </c>
      <c r="O94" s="97">
        <f t="shared" si="18"/>
        <v>0.25490196078431371</v>
      </c>
      <c r="P94" s="97">
        <f t="shared" si="18"/>
        <v>0.31372549019607843</v>
      </c>
      <c r="Q94" s="97">
        <f t="shared" si="18"/>
        <v>0.47843137254901963</v>
      </c>
      <c r="R94" s="4">
        <f t="shared" si="19"/>
        <v>0</v>
      </c>
      <c r="S94" s="4">
        <f t="shared" si="20"/>
        <v>7.8947368421052641E-2</v>
      </c>
      <c r="T94" s="4">
        <f t="shared" si="21"/>
        <v>0.30000000000000004</v>
      </c>
      <c r="U94" s="4">
        <f t="shared" si="22"/>
        <v>0.25490196078431371</v>
      </c>
      <c r="V94" s="4">
        <f t="shared" si="23"/>
        <v>0</v>
      </c>
      <c r="W94" s="4">
        <f t="shared" si="24"/>
        <v>0</v>
      </c>
      <c r="X94" s="4">
        <f t="shared" si="25"/>
        <v>0</v>
      </c>
      <c r="Y94" s="4">
        <f t="shared" si="26"/>
        <v>0</v>
      </c>
    </row>
    <row r="95" spans="1:25" ht="27" hidden="1" customHeight="1" x14ac:dyDescent="0.15">
      <c r="A95" s="1">
        <v>93</v>
      </c>
      <c r="B95" s="1" t="s">
        <v>215</v>
      </c>
      <c r="C95" s="1">
        <v>79</v>
      </c>
      <c r="G95" s="96" t="str">
        <f t="shared" si="14"/>
        <v>XF79</v>
      </c>
      <c r="H95" s="2" t="s">
        <v>89</v>
      </c>
      <c r="I95" s="84"/>
      <c r="K95" s="1" t="s">
        <v>178</v>
      </c>
      <c r="L95" s="1">
        <f t="shared" si="15"/>
        <v>93</v>
      </c>
      <c r="M95" s="1">
        <f t="shared" si="16"/>
        <v>74</v>
      </c>
      <c r="N95" s="1">
        <f t="shared" si="17"/>
        <v>51</v>
      </c>
      <c r="O95" s="97">
        <f t="shared" si="18"/>
        <v>0.63529411764705879</v>
      </c>
      <c r="P95" s="97">
        <f t="shared" si="18"/>
        <v>0.70980392156862748</v>
      </c>
      <c r="Q95" s="97">
        <f t="shared" si="18"/>
        <v>0.8</v>
      </c>
      <c r="R95" s="4">
        <f t="shared" si="19"/>
        <v>0</v>
      </c>
      <c r="S95" s="4">
        <f t="shared" si="20"/>
        <v>0.20430107526881738</v>
      </c>
      <c r="T95" s="4">
        <f t="shared" si="21"/>
        <v>0.45161290322580661</v>
      </c>
      <c r="U95" s="4">
        <f t="shared" si="22"/>
        <v>0.63529411764705879</v>
      </c>
      <c r="V95" s="4">
        <f t="shared" si="23"/>
        <v>0</v>
      </c>
      <c r="W95" s="4">
        <f t="shared" si="24"/>
        <v>0</v>
      </c>
      <c r="X95" s="4">
        <f t="shared" si="25"/>
        <v>0</v>
      </c>
      <c r="Y95" s="4">
        <f t="shared" si="26"/>
        <v>0</v>
      </c>
    </row>
    <row r="96" spans="1:25" ht="27" hidden="1" customHeight="1" x14ac:dyDescent="0.15">
      <c r="A96" s="1">
        <v>94</v>
      </c>
      <c r="B96" s="1" t="s">
        <v>215</v>
      </c>
      <c r="C96" s="1">
        <v>80</v>
      </c>
      <c r="G96" s="96" t="str">
        <f t="shared" si="14"/>
        <v>XF80</v>
      </c>
      <c r="H96" s="2" t="s">
        <v>85</v>
      </c>
      <c r="I96" s="85"/>
      <c r="K96" s="1" t="s">
        <v>179</v>
      </c>
      <c r="L96" s="1">
        <f t="shared" si="15"/>
        <v>193</v>
      </c>
      <c r="M96" s="1">
        <f t="shared" si="16"/>
        <v>202</v>
      </c>
      <c r="N96" s="1">
        <f t="shared" si="17"/>
        <v>200</v>
      </c>
      <c r="O96" s="97">
        <f t="shared" si="18"/>
        <v>0.24313725490196078</v>
      </c>
      <c r="P96" s="97">
        <f t="shared" si="18"/>
        <v>0.20784313725490197</v>
      </c>
      <c r="Q96" s="97">
        <f t="shared" si="18"/>
        <v>0.21568627450980393</v>
      </c>
      <c r="R96" s="4">
        <f t="shared" si="19"/>
        <v>4.4554455445544539E-2</v>
      </c>
      <c r="S96" s="4">
        <f t="shared" si="20"/>
        <v>0</v>
      </c>
      <c r="T96" s="4">
        <f t="shared" si="21"/>
        <v>9.9009900990099011E-3</v>
      </c>
      <c r="U96" s="4">
        <f t="shared" si="22"/>
        <v>0.20784313725490197</v>
      </c>
      <c r="V96" s="4">
        <f t="shared" si="23"/>
        <v>0</v>
      </c>
      <c r="W96" s="4">
        <f t="shared" si="24"/>
        <v>0</v>
      </c>
      <c r="X96" s="4">
        <f t="shared" si="25"/>
        <v>0</v>
      </c>
      <c r="Y96" s="4">
        <f t="shared" si="26"/>
        <v>0</v>
      </c>
    </row>
    <row r="97" spans="1:25" ht="27" hidden="1" customHeight="1" x14ac:dyDescent="0.15">
      <c r="A97" s="1">
        <v>95</v>
      </c>
      <c r="B97" s="1" t="s">
        <v>215</v>
      </c>
      <c r="C97" s="1">
        <v>81</v>
      </c>
      <c r="G97" s="96" t="str">
        <f t="shared" si="14"/>
        <v>XF81</v>
      </c>
      <c r="H97" s="2" t="s">
        <v>86</v>
      </c>
      <c r="I97" s="86"/>
      <c r="K97" s="1" t="s">
        <v>180</v>
      </c>
      <c r="L97" s="1">
        <f t="shared" si="15"/>
        <v>52</v>
      </c>
      <c r="M97" s="1">
        <f t="shared" si="16"/>
        <v>85</v>
      </c>
      <c r="N97" s="1">
        <f t="shared" si="17"/>
        <v>51</v>
      </c>
      <c r="O97" s="97">
        <f t="shared" si="18"/>
        <v>0.79607843137254897</v>
      </c>
      <c r="P97" s="97">
        <f t="shared" si="18"/>
        <v>0.66666666666666663</v>
      </c>
      <c r="Q97" s="97">
        <f t="shared" si="18"/>
        <v>0.8</v>
      </c>
      <c r="R97" s="4">
        <f t="shared" si="19"/>
        <v>0.38823529411764696</v>
      </c>
      <c r="S97" s="4">
        <f t="shared" si="20"/>
        <v>0</v>
      </c>
      <c r="T97" s="4">
        <f t="shared" si="21"/>
        <v>0.40000000000000019</v>
      </c>
      <c r="U97" s="4">
        <f t="shared" si="22"/>
        <v>0.66666666666666663</v>
      </c>
      <c r="V97" s="4">
        <f t="shared" si="23"/>
        <v>0</v>
      </c>
      <c r="W97" s="4">
        <f t="shared" si="24"/>
        <v>0</v>
      </c>
      <c r="X97" s="4">
        <f t="shared" si="25"/>
        <v>0</v>
      </c>
      <c r="Y97" s="4">
        <f t="shared" si="26"/>
        <v>0</v>
      </c>
    </row>
    <row r="98" spans="1:25" ht="27" hidden="1" customHeight="1" x14ac:dyDescent="0.15">
      <c r="A98" s="1">
        <v>96</v>
      </c>
      <c r="B98" s="1" t="s">
        <v>215</v>
      </c>
      <c r="C98" s="1">
        <v>82</v>
      </c>
      <c r="G98" s="96" t="str">
        <f t="shared" si="14"/>
        <v>XF82</v>
      </c>
      <c r="H98" s="2" t="s">
        <v>87</v>
      </c>
      <c r="I98" s="87"/>
      <c r="K98" s="1" t="s">
        <v>181</v>
      </c>
      <c r="L98" s="1">
        <f t="shared" si="15"/>
        <v>107</v>
      </c>
      <c r="M98" s="1">
        <f t="shared" si="16"/>
        <v>141</v>
      </c>
      <c r="N98" s="1">
        <f t="shared" si="17"/>
        <v>154</v>
      </c>
      <c r="O98" s="97">
        <f t="shared" si="18"/>
        <v>0.58039215686274515</v>
      </c>
      <c r="P98" s="97">
        <f t="shared" si="18"/>
        <v>0.44705882352941179</v>
      </c>
      <c r="Q98" s="97">
        <f t="shared" si="18"/>
        <v>0.396078431372549</v>
      </c>
      <c r="R98" s="4">
        <f t="shared" si="19"/>
        <v>0.30519480519480524</v>
      </c>
      <c r="S98" s="4">
        <f t="shared" si="20"/>
        <v>8.4415584415584471E-2</v>
      </c>
      <c r="T98" s="4">
        <f t="shared" si="21"/>
        <v>0</v>
      </c>
      <c r="U98" s="4">
        <f t="shared" si="22"/>
        <v>0.396078431372549</v>
      </c>
      <c r="V98" s="4">
        <f t="shared" si="23"/>
        <v>0</v>
      </c>
      <c r="W98" s="4">
        <f t="shared" si="24"/>
        <v>0</v>
      </c>
      <c r="X98" s="4">
        <f t="shared" si="25"/>
        <v>0</v>
      </c>
      <c r="Y98" s="4">
        <f t="shared" si="26"/>
        <v>0</v>
      </c>
    </row>
    <row r="99" spans="1:25" ht="27" hidden="1" customHeight="1" x14ac:dyDescent="0.15">
      <c r="A99" s="1">
        <v>97</v>
      </c>
      <c r="B99" s="1" t="s">
        <v>215</v>
      </c>
      <c r="C99" s="1">
        <v>83</v>
      </c>
      <c r="G99" s="96" t="str">
        <f t="shared" si="14"/>
        <v>XF83</v>
      </c>
      <c r="H99" s="2" t="s">
        <v>92</v>
      </c>
      <c r="I99" s="88"/>
      <c r="K99" s="1" t="s">
        <v>182</v>
      </c>
      <c r="L99" s="1">
        <f t="shared" si="15"/>
        <v>170</v>
      </c>
      <c r="M99" s="1">
        <f t="shared" si="16"/>
        <v>190</v>
      </c>
      <c r="N99" s="1">
        <f t="shared" si="17"/>
        <v>186</v>
      </c>
      <c r="O99" s="97">
        <f t="shared" ref="O99:Q109" si="27">(255-L99)/255</f>
        <v>0.33333333333333331</v>
      </c>
      <c r="P99" s="97">
        <f t="shared" si="27"/>
        <v>0.25490196078431371</v>
      </c>
      <c r="Q99" s="97">
        <f t="shared" si="27"/>
        <v>0.27058823529411763</v>
      </c>
      <c r="R99" s="4">
        <f t="shared" si="19"/>
        <v>0.10526315789473684</v>
      </c>
      <c r="S99" s="4">
        <f t="shared" si="20"/>
        <v>0</v>
      </c>
      <c r="T99" s="4">
        <f t="shared" si="21"/>
        <v>2.1052631578947368E-2</v>
      </c>
      <c r="U99" s="4">
        <f t="shared" si="22"/>
        <v>0.25490196078431371</v>
      </c>
      <c r="V99" s="4">
        <f t="shared" si="23"/>
        <v>0</v>
      </c>
      <c r="W99" s="4">
        <f t="shared" si="24"/>
        <v>0</v>
      </c>
      <c r="X99" s="4">
        <f t="shared" si="25"/>
        <v>0</v>
      </c>
      <c r="Y99" s="4">
        <f t="shared" si="26"/>
        <v>0</v>
      </c>
    </row>
    <row r="100" spans="1:25" ht="27" hidden="1" customHeight="1" x14ac:dyDescent="0.15">
      <c r="A100" s="1">
        <v>98</v>
      </c>
      <c r="B100" s="1" t="s">
        <v>215</v>
      </c>
      <c r="C100" s="1">
        <v>84</v>
      </c>
      <c r="G100" s="96" t="str">
        <f t="shared" si="14"/>
        <v>XF84</v>
      </c>
      <c r="H100" s="2" t="s">
        <v>90</v>
      </c>
      <c r="I100" s="89"/>
      <c r="K100" s="1" t="s">
        <v>183</v>
      </c>
      <c r="L100" s="1">
        <f t="shared" si="15"/>
        <v>81</v>
      </c>
      <c r="M100" s="1">
        <f t="shared" si="16"/>
        <v>67</v>
      </c>
      <c r="N100" s="1">
        <f t="shared" si="17"/>
        <v>51</v>
      </c>
      <c r="O100" s="97">
        <f t="shared" si="27"/>
        <v>0.68235294117647061</v>
      </c>
      <c r="P100" s="97">
        <f t="shared" si="27"/>
        <v>0.73725490196078436</v>
      </c>
      <c r="Q100" s="97">
        <f t="shared" si="27"/>
        <v>0.8</v>
      </c>
      <c r="R100" s="4">
        <f t="shared" si="19"/>
        <v>0</v>
      </c>
      <c r="S100" s="4">
        <f t="shared" si="20"/>
        <v>0.17283950617283961</v>
      </c>
      <c r="T100" s="4">
        <f t="shared" si="21"/>
        <v>0.37037037037037046</v>
      </c>
      <c r="U100" s="4">
        <f t="shared" si="22"/>
        <v>0.68235294117647061</v>
      </c>
      <c r="V100" s="4">
        <f t="shared" si="23"/>
        <v>0</v>
      </c>
      <c r="W100" s="4">
        <f t="shared" si="24"/>
        <v>0</v>
      </c>
      <c r="X100" s="4">
        <f t="shared" si="25"/>
        <v>0</v>
      </c>
      <c r="Y100" s="4">
        <f t="shared" si="26"/>
        <v>0</v>
      </c>
    </row>
    <row r="101" spans="1:25" ht="27" hidden="1" customHeight="1" x14ac:dyDescent="0.15">
      <c r="A101" s="1">
        <v>99</v>
      </c>
      <c r="B101" s="1" t="s">
        <v>215</v>
      </c>
      <c r="C101" s="1">
        <v>85</v>
      </c>
      <c r="G101" s="96" t="str">
        <f t="shared" si="14"/>
        <v>XF85</v>
      </c>
      <c r="H101" s="2" t="s">
        <v>91</v>
      </c>
      <c r="I101" s="3"/>
      <c r="K101" s="1" t="s">
        <v>100</v>
      </c>
      <c r="L101" s="1">
        <f t="shared" si="15"/>
        <v>35</v>
      </c>
      <c r="M101" s="1">
        <f t="shared" si="16"/>
        <v>25</v>
      </c>
      <c r="N101" s="1">
        <f t="shared" si="17"/>
        <v>22</v>
      </c>
      <c r="O101" s="97">
        <f t="shared" si="27"/>
        <v>0.86274509803921573</v>
      </c>
      <c r="P101" s="97">
        <f t="shared" si="27"/>
        <v>0.90196078431372551</v>
      </c>
      <c r="Q101" s="97">
        <f t="shared" si="27"/>
        <v>0.9137254901960784</v>
      </c>
      <c r="R101" s="4">
        <f t="shared" si="19"/>
        <v>0</v>
      </c>
      <c r="S101" s="4">
        <f t="shared" si="20"/>
        <v>0.28571428571428559</v>
      </c>
      <c r="T101" s="4">
        <f t="shared" si="21"/>
        <v>0.37142857142857105</v>
      </c>
      <c r="U101" s="4">
        <f t="shared" si="22"/>
        <v>0.86274509803921573</v>
      </c>
      <c r="V101" s="4">
        <f t="shared" si="23"/>
        <v>0</v>
      </c>
      <c r="W101" s="4">
        <f t="shared" si="24"/>
        <v>0</v>
      </c>
      <c r="X101" s="4">
        <f t="shared" si="25"/>
        <v>0</v>
      </c>
      <c r="Y101" s="4">
        <f t="shared" si="26"/>
        <v>0</v>
      </c>
    </row>
    <row r="102" spans="1:25" ht="25.5" hidden="1" customHeight="1" x14ac:dyDescent="0.15">
      <c r="A102" s="1">
        <v>100</v>
      </c>
      <c r="B102" s="1" t="s">
        <v>215</v>
      </c>
      <c r="C102" s="1">
        <v>86</v>
      </c>
      <c r="E102" s="1" t="s">
        <v>211</v>
      </c>
      <c r="G102" s="96" t="str">
        <f t="shared" si="14"/>
        <v>XF86</v>
      </c>
      <c r="H102" s="2" t="s">
        <v>184</v>
      </c>
      <c r="I102" s="5"/>
      <c r="K102" s="1" t="s">
        <v>101</v>
      </c>
      <c r="L102" s="1">
        <f t="shared" si="15"/>
        <v>255</v>
      </c>
      <c r="M102" s="1">
        <f t="shared" si="16"/>
        <v>255</v>
      </c>
      <c r="N102" s="1">
        <f t="shared" si="17"/>
        <v>255</v>
      </c>
      <c r="O102" s="97">
        <f t="shared" si="27"/>
        <v>0</v>
      </c>
      <c r="P102" s="97">
        <f t="shared" si="27"/>
        <v>0</v>
      </c>
      <c r="Q102" s="97">
        <f t="shared" si="27"/>
        <v>0</v>
      </c>
      <c r="R102" s="4">
        <f t="shared" si="19"/>
        <v>0</v>
      </c>
      <c r="S102" s="4">
        <f t="shared" si="20"/>
        <v>0</v>
      </c>
      <c r="T102" s="4">
        <f t="shared" si="21"/>
        <v>0</v>
      </c>
      <c r="U102" s="4">
        <f t="shared" si="22"/>
        <v>0</v>
      </c>
      <c r="V102" s="4">
        <f t="shared" si="23"/>
        <v>0</v>
      </c>
      <c r="W102" s="4">
        <f t="shared" si="24"/>
        <v>0</v>
      </c>
      <c r="X102" s="4">
        <f t="shared" si="25"/>
        <v>0</v>
      </c>
      <c r="Y102" s="4">
        <f t="shared" si="26"/>
        <v>0</v>
      </c>
    </row>
    <row r="103" spans="1:25" ht="27" hidden="1" customHeight="1" x14ac:dyDescent="0.15">
      <c r="A103" s="1">
        <v>101</v>
      </c>
      <c r="B103" s="1" t="s">
        <v>215</v>
      </c>
      <c r="C103" s="1">
        <v>87</v>
      </c>
      <c r="G103" s="96" t="str">
        <f t="shared" si="14"/>
        <v>XF87</v>
      </c>
      <c r="H103" s="2" t="s">
        <v>207</v>
      </c>
      <c r="I103" s="90"/>
      <c r="K103" s="1" t="s">
        <v>185</v>
      </c>
      <c r="L103" s="1">
        <f t="shared" si="15"/>
        <v>125</v>
      </c>
      <c r="M103" s="1">
        <f t="shared" si="16"/>
        <v>128</v>
      </c>
      <c r="N103" s="1">
        <f t="shared" si="17"/>
        <v>134</v>
      </c>
      <c r="O103" s="97">
        <f t="shared" si="27"/>
        <v>0.50980392156862742</v>
      </c>
      <c r="P103" s="97">
        <f t="shared" si="27"/>
        <v>0.49803921568627452</v>
      </c>
      <c r="Q103" s="97">
        <f t="shared" si="27"/>
        <v>0.47450980392156861</v>
      </c>
      <c r="R103" s="4">
        <f t="shared" si="19"/>
        <v>6.7164179104477584E-2</v>
      </c>
      <c r="S103" s="4">
        <f t="shared" si="20"/>
        <v>4.4776119402985128E-2</v>
      </c>
      <c r="T103" s="4">
        <f t="shared" si="21"/>
        <v>0</v>
      </c>
      <c r="U103" s="4">
        <f t="shared" si="22"/>
        <v>0.47450980392156861</v>
      </c>
      <c r="V103" s="4">
        <f t="shared" si="23"/>
        <v>0</v>
      </c>
      <c r="W103" s="4">
        <f t="shared" si="24"/>
        <v>0</v>
      </c>
      <c r="X103" s="4">
        <f t="shared" si="25"/>
        <v>0</v>
      </c>
      <c r="Y103" s="4">
        <f t="shared" si="26"/>
        <v>0</v>
      </c>
    </row>
    <row r="104" spans="1:25" ht="27" hidden="1" customHeight="1" x14ac:dyDescent="0.15">
      <c r="A104" s="1">
        <v>102</v>
      </c>
      <c r="B104" s="1" t="s">
        <v>215</v>
      </c>
      <c r="C104" s="1">
        <v>88</v>
      </c>
      <c r="G104" s="96" t="str">
        <f t="shared" si="14"/>
        <v>XF88</v>
      </c>
      <c r="H104" s="2" t="s">
        <v>95</v>
      </c>
      <c r="I104" s="91"/>
      <c r="K104" s="1" t="s">
        <v>186</v>
      </c>
      <c r="L104" s="1">
        <f t="shared" si="15"/>
        <v>200</v>
      </c>
      <c r="M104" s="1">
        <f t="shared" si="16"/>
        <v>179</v>
      </c>
      <c r="N104" s="1">
        <f t="shared" si="17"/>
        <v>75</v>
      </c>
      <c r="O104" s="97">
        <f t="shared" si="27"/>
        <v>0.21568627450980393</v>
      </c>
      <c r="P104" s="97">
        <f t="shared" si="27"/>
        <v>0.29803921568627451</v>
      </c>
      <c r="Q104" s="97">
        <f t="shared" si="27"/>
        <v>0.70588235294117652</v>
      </c>
      <c r="R104" s="4">
        <f t="shared" si="19"/>
        <v>0</v>
      </c>
      <c r="S104" s="4">
        <f t="shared" si="20"/>
        <v>0.10499999999999998</v>
      </c>
      <c r="T104" s="4">
        <f t="shared" si="21"/>
        <v>0.625</v>
      </c>
      <c r="U104" s="4">
        <f t="shared" si="22"/>
        <v>0.21568627450980393</v>
      </c>
      <c r="V104" s="4">
        <f t="shared" si="23"/>
        <v>0</v>
      </c>
      <c r="W104" s="4">
        <f t="shared" si="24"/>
        <v>0</v>
      </c>
      <c r="X104" s="4">
        <f t="shared" si="25"/>
        <v>0</v>
      </c>
      <c r="Y104" s="4">
        <f t="shared" si="26"/>
        <v>0</v>
      </c>
    </row>
    <row r="105" spans="1:25" ht="27" hidden="1" customHeight="1" x14ac:dyDescent="0.15">
      <c r="A105" s="1">
        <v>103</v>
      </c>
      <c r="B105" s="1" t="s">
        <v>215</v>
      </c>
      <c r="C105" s="1">
        <v>89</v>
      </c>
      <c r="G105" s="96" t="str">
        <f t="shared" si="14"/>
        <v>XF89</v>
      </c>
      <c r="H105" s="2" t="s">
        <v>94</v>
      </c>
      <c r="I105" s="33"/>
      <c r="K105" s="1" t="s">
        <v>128</v>
      </c>
      <c r="L105" s="1">
        <f t="shared" si="15"/>
        <v>91</v>
      </c>
      <c r="M105" s="1">
        <f t="shared" si="16"/>
        <v>132</v>
      </c>
      <c r="N105" s="1">
        <f t="shared" si="17"/>
        <v>97</v>
      </c>
      <c r="O105" s="97">
        <f t="shared" si="27"/>
        <v>0.64313725490196083</v>
      </c>
      <c r="P105" s="97">
        <f t="shared" si="27"/>
        <v>0.4823529411764706</v>
      </c>
      <c r="Q105" s="97">
        <f t="shared" si="27"/>
        <v>0.61960784313725492</v>
      </c>
      <c r="R105" s="4">
        <f t="shared" si="19"/>
        <v>0.31060606060606072</v>
      </c>
      <c r="S105" s="4">
        <f t="shared" si="20"/>
        <v>0</v>
      </c>
      <c r="T105" s="4">
        <f t="shared" si="21"/>
        <v>0.26515151515151519</v>
      </c>
      <c r="U105" s="4">
        <f t="shared" si="22"/>
        <v>0.4823529411764706</v>
      </c>
      <c r="V105" s="4">
        <f t="shared" si="23"/>
        <v>0</v>
      </c>
      <c r="W105" s="4">
        <f t="shared" si="24"/>
        <v>0</v>
      </c>
      <c r="X105" s="4">
        <f t="shared" si="25"/>
        <v>0</v>
      </c>
      <c r="Y105" s="4">
        <f t="shared" si="26"/>
        <v>0</v>
      </c>
    </row>
    <row r="106" spans="1:25" ht="27" hidden="1" customHeight="1" x14ac:dyDescent="0.15">
      <c r="A106" s="1">
        <v>104</v>
      </c>
      <c r="B106" s="1" t="s">
        <v>215</v>
      </c>
      <c r="C106" s="1">
        <v>90</v>
      </c>
      <c r="G106" s="96" t="str">
        <f t="shared" si="14"/>
        <v>XF90</v>
      </c>
      <c r="H106" s="2" t="s">
        <v>93</v>
      </c>
      <c r="I106" s="38"/>
      <c r="K106" s="1" t="s">
        <v>133</v>
      </c>
      <c r="L106" s="1">
        <f t="shared" si="15"/>
        <v>79</v>
      </c>
      <c r="M106" s="1">
        <f t="shared" si="16"/>
        <v>57</v>
      </c>
      <c r="N106" s="1">
        <f t="shared" si="17"/>
        <v>51</v>
      </c>
      <c r="O106" s="97">
        <f t="shared" si="27"/>
        <v>0.69019607843137254</v>
      </c>
      <c r="P106" s="97">
        <f t="shared" si="27"/>
        <v>0.77647058823529413</v>
      </c>
      <c r="Q106" s="97">
        <f t="shared" si="27"/>
        <v>0.8</v>
      </c>
      <c r="R106" s="4">
        <f t="shared" si="19"/>
        <v>0</v>
      </c>
      <c r="S106" s="4">
        <f t="shared" si="20"/>
        <v>0.27848101265822794</v>
      </c>
      <c r="T106" s="4">
        <f t="shared" si="21"/>
        <v>0.35443037974683561</v>
      </c>
      <c r="U106" s="4">
        <f t="shared" si="22"/>
        <v>0.69019607843137254</v>
      </c>
      <c r="V106" s="4">
        <f t="shared" si="23"/>
        <v>0</v>
      </c>
      <c r="W106" s="4">
        <f t="shared" si="24"/>
        <v>0</v>
      </c>
      <c r="X106" s="4">
        <f t="shared" si="25"/>
        <v>0</v>
      </c>
      <c r="Y106" s="4">
        <f t="shared" si="26"/>
        <v>0</v>
      </c>
    </row>
    <row r="107" spans="1:25" ht="27" hidden="1" customHeight="1" x14ac:dyDescent="0.15">
      <c r="A107" s="1">
        <v>105</v>
      </c>
      <c r="B107" s="1" t="s">
        <v>215</v>
      </c>
      <c r="C107" s="1">
        <v>91</v>
      </c>
      <c r="G107" s="96" t="str">
        <f t="shared" si="14"/>
        <v>XF91</v>
      </c>
      <c r="H107" s="2" t="s">
        <v>206</v>
      </c>
      <c r="I107" s="92"/>
      <c r="K107" s="1" t="s">
        <v>187</v>
      </c>
      <c r="L107" s="1">
        <f t="shared" si="15"/>
        <v>99</v>
      </c>
      <c r="M107" s="1">
        <f t="shared" si="16"/>
        <v>106</v>
      </c>
      <c r="N107" s="1">
        <f t="shared" si="17"/>
        <v>116</v>
      </c>
      <c r="O107" s="97">
        <f t="shared" si="27"/>
        <v>0.61176470588235299</v>
      </c>
      <c r="P107" s="97">
        <f t="shared" si="27"/>
        <v>0.58431372549019611</v>
      </c>
      <c r="Q107" s="97">
        <f t="shared" si="27"/>
        <v>0.54509803921568623</v>
      </c>
      <c r="R107" s="4">
        <f t="shared" si="19"/>
        <v>0.14655172413793122</v>
      </c>
      <c r="S107" s="4">
        <f t="shared" si="20"/>
        <v>8.620689655172431E-2</v>
      </c>
      <c r="T107" s="4">
        <f t="shared" si="21"/>
        <v>0</v>
      </c>
      <c r="U107" s="4">
        <f t="shared" si="22"/>
        <v>0.54509803921568623</v>
      </c>
      <c r="V107" s="4">
        <f t="shared" si="23"/>
        <v>0</v>
      </c>
      <c r="W107" s="4">
        <f t="shared" si="24"/>
        <v>0</v>
      </c>
      <c r="X107" s="4">
        <f t="shared" si="25"/>
        <v>0</v>
      </c>
      <c r="Y107" s="4">
        <f t="shared" si="26"/>
        <v>0</v>
      </c>
    </row>
    <row r="108" spans="1:25" ht="27" hidden="1" customHeight="1" x14ac:dyDescent="0.15">
      <c r="A108" s="1">
        <v>106</v>
      </c>
      <c r="B108" s="1" t="s">
        <v>215</v>
      </c>
      <c r="C108" s="1">
        <v>92</v>
      </c>
      <c r="G108" s="96" t="str">
        <f t="shared" si="14"/>
        <v>XF92</v>
      </c>
      <c r="H108" s="2" t="s">
        <v>96</v>
      </c>
      <c r="I108" s="93"/>
      <c r="K108" s="1" t="s">
        <v>188</v>
      </c>
      <c r="L108" s="1">
        <f t="shared" si="15"/>
        <v>177</v>
      </c>
      <c r="M108" s="1">
        <f t="shared" si="16"/>
        <v>130</v>
      </c>
      <c r="N108" s="1">
        <f t="shared" si="17"/>
        <v>80</v>
      </c>
      <c r="O108" s="97">
        <f t="shared" si="27"/>
        <v>0.30588235294117649</v>
      </c>
      <c r="P108" s="97">
        <f t="shared" si="27"/>
        <v>0.49019607843137253</v>
      </c>
      <c r="Q108" s="97">
        <f t="shared" si="27"/>
        <v>0.68627450980392157</v>
      </c>
      <c r="R108" s="4">
        <f t="shared" si="19"/>
        <v>0</v>
      </c>
      <c r="S108" s="4">
        <f t="shared" si="20"/>
        <v>0.26553672316384175</v>
      </c>
      <c r="T108" s="4">
        <f t="shared" si="21"/>
        <v>0.54802259887005644</v>
      </c>
      <c r="U108" s="4">
        <f t="shared" si="22"/>
        <v>0.30588235294117649</v>
      </c>
      <c r="V108" s="4">
        <f t="shared" si="23"/>
        <v>0</v>
      </c>
      <c r="W108" s="4">
        <f t="shared" si="24"/>
        <v>0</v>
      </c>
      <c r="X108" s="4">
        <f t="shared" si="25"/>
        <v>0</v>
      </c>
      <c r="Y108" s="4">
        <f t="shared" si="26"/>
        <v>0</v>
      </c>
    </row>
    <row r="109" spans="1:25" ht="27" hidden="1" customHeight="1" x14ac:dyDescent="0.15">
      <c r="A109" s="1">
        <v>107</v>
      </c>
      <c r="B109" s="1" t="s">
        <v>215</v>
      </c>
      <c r="C109" s="1">
        <v>93</v>
      </c>
      <c r="G109" s="96" t="str">
        <f t="shared" si="14"/>
        <v>XF93</v>
      </c>
      <c r="H109" s="2" t="s">
        <v>97</v>
      </c>
      <c r="I109" s="94"/>
      <c r="K109" s="1" t="s">
        <v>189</v>
      </c>
      <c r="L109" s="1">
        <f t="shared" si="15"/>
        <v>230</v>
      </c>
      <c r="M109" s="1">
        <f t="shared" si="16"/>
        <v>179</v>
      </c>
      <c r="N109" s="1">
        <f t="shared" si="17"/>
        <v>110</v>
      </c>
      <c r="O109" s="97">
        <f t="shared" si="27"/>
        <v>9.8039215686274508E-2</v>
      </c>
      <c r="P109" s="97">
        <f t="shared" si="27"/>
        <v>0.29803921568627451</v>
      </c>
      <c r="Q109" s="97">
        <f t="shared" si="27"/>
        <v>0.56862745098039214</v>
      </c>
      <c r="R109" s="4">
        <f t="shared" si="19"/>
        <v>0</v>
      </c>
      <c r="S109" s="4">
        <f t="shared" si="20"/>
        <v>0.22173913043478261</v>
      </c>
      <c r="T109" s="4">
        <f t="shared" si="21"/>
        <v>0.52173913043478259</v>
      </c>
      <c r="U109" s="4">
        <f t="shared" si="22"/>
        <v>9.8039215686274508E-2</v>
      </c>
      <c r="V109" s="4">
        <f t="shared" si="23"/>
        <v>0</v>
      </c>
      <c r="W109" s="4">
        <f t="shared" si="24"/>
        <v>0</v>
      </c>
      <c r="X109" s="4">
        <f t="shared" si="25"/>
        <v>0</v>
      </c>
      <c r="Y109" s="4">
        <f t="shared" si="26"/>
        <v>0</v>
      </c>
    </row>
  </sheetData>
  <autoFilter ref="A2:W109">
    <filterColumn colId="5">
      <customFilters>
        <customFilter operator="notEqual" val=" "/>
      </customFilters>
    </filterColumn>
  </autoFilter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原紙</vt:lpstr>
      <vt:lpstr>グレイバイオレット</vt:lpstr>
      <vt:lpstr>グレイグリーン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Susumu</dc:creator>
  <cp:lastModifiedBy>Susumu</cp:lastModifiedBy>
  <dcterms:created xsi:type="dcterms:W3CDTF">2024-03-19T13:11:39Z</dcterms:created>
  <dcterms:modified xsi:type="dcterms:W3CDTF">2024-03-26T16:50:17Z</dcterms:modified>
</cp:coreProperties>
</file>